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6"/>
  <workbookPr codeName="ThisWorkbook"/>
  <mc:AlternateContent xmlns:mc="http://schemas.openxmlformats.org/markup-compatibility/2006">
    <mc:Choice Requires="x15">
      <x15ac:absPath xmlns:x15ac="http://schemas.microsoft.com/office/spreadsheetml/2010/11/ac" url="/Users/petr/cwork/studie-urednici/data-input/"/>
    </mc:Choice>
  </mc:AlternateContent>
  <xr:revisionPtr revIDLastSave="0" documentId="13_ncr:1_{FF03D252-0494-C949-9E7C-4C2E1ED37905}" xr6:coauthVersionLast="47" xr6:coauthVersionMax="47" xr10:uidLastSave="{00000000-0000-0000-0000-000000000000}"/>
  <bookViews>
    <workbookView xWindow="0" yWindow="660" windowWidth="30240" windowHeight="18980" tabRatio="606" activeTab="5" xr2:uid="{00000000-000D-0000-FFFF-FFFF00000000}"/>
  </bookViews>
  <sheets>
    <sheet name="ROPO CELKEM" sheetId="36" r:id="rId1"/>
    <sheet name="OSS (RO)" sheetId="35" r:id="rId2"/>
    <sheet name="PO" sheetId="31" r:id="rId3"/>
    <sheet name="OOSS" sheetId="23" r:id="rId4"/>
    <sheet name="STATNI SPRAVA" sheetId="21" r:id="rId5"/>
    <sheet name="UO" sheetId="24" r:id="rId6"/>
    <sheet name="OSS SS" sheetId="25" r:id="rId7"/>
    <sheet name="OSS SS - jednotl" sheetId="15" r:id="rId8"/>
    <sheet name="SOBCPO" sheetId="27" r:id="rId9"/>
    <sheet name="SOBCPO  JEDNOTLIVY" sheetId="38" r:id="rId10"/>
    <sheet name="SUMAR" sheetId="32" r:id="rId11"/>
  </sheets>
  <definedNames>
    <definedName name="_xlnm._FilterDatabase" localSheetId="0" hidden="1">'ROPO CELKEM'!#REF!</definedName>
    <definedName name="_xlnm.Print_Titles" localSheetId="3">OOSS!$A:$B</definedName>
    <definedName name="_xlnm.Print_Titles" localSheetId="1">'OSS (RO)'!$A:$B</definedName>
    <definedName name="_xlnm.Print_Titles" localSheetId="6">'OSS SS'!$A:$B</definedName>
    <definedName name="_xlnm.Print_Titles" localSheetId="7">'OSS SS - jednotl'!$A:$C</definedName>
    <definedName name="_xlnm.Print_Titles" localSheetId="2">PO!$A:$B</definedName>
    <definedName name="_xlnm.Print_Titles" localSheetId="0">'ROPO CELKEM'!$A:$B</definedName>
    <definedName name="_xlnm.Print_Titles" localSheetId="8">SOBCPO!$A:$B</definedName>
    <definedName name="_xlnm.Print_Titles" localSheetId="9">'SOBCPO  JEDNOTLIVY'!$A:$B</definedName>
    <definedName name="_xlnm.Print_Titles" localSheetId="4">'STATNI SPRAVA'!$A:$B</definedName>
    <definedName name="_xlnm.Print_Titles" localSheetId="10">SUMAR!$A:$B</definedName>
    <definedName name="_xlnm.Print_Titles" localSheetId="5">UO!$A:$B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50" i="27" l="1"/>
  <c r="T50" i="27"/>
  <c r="S50" i="27"/>
  <c r="R50" i="27"/>
  <c r="O50" i="27"/>
  <c r="N50" i="27"/>
  <c r="M50" i="27"/>
  <c r="L50" i="27"/>
  <c r="H50" i="27"/>
  <c r="G50" i="27"/>
  <c r="F50" i="27"/>
  <c r="E50" i="27"/>
  <c r="U48" i="15"/>
  <c r="T48" i="15"/>
  <c r="S48" i="15"/>
  <c r="R48" i="15"/>
  <c r="S44" i="15"/>
  <c r="R44" i="15"/>
  <c r="U39" i="15"/>
  <c r="T39" i="15"/>
  <c r="S39" i="15"/>
  <c r="R39" i="15"/>
  <c r="U32" i="15"/>
  <c r="T32" i="15"/>
  <c r="S32" i="15"/>
  <c r="R32" i="15"/>
  <c r="U24" i="15"/>
  <c r="T24" i="15"/>
  <c r="S24" i="15"/>
  <c r="U50" i="15"/>
  <c r="T50" i="15"/>
  <c r="S50" i="15"/>
  <c r="R50" i="15"/>
  <c r="U44" i="15"/>
  <c r="T44" i="15"/>
  <c r="U41" i="15"/>
  <c r="T41" i="15"/>
  <c r="S41" i="15"/>
  <c r="R41" i="15"/>
  <c r="U18" i="15"/>
  <c r="T18" i="15"/>
  <c r="S18" i="15"/>
  <c r="R18" i="15"/>
  <c r="U15" i="15"/>
  <c r="T15" i="15"/>
  <c r="S15" i="15"/>
  <c r="R15" i="15"/>
  <c r="U13" i="15"/>
  <c r="T13" i="15"/>
  <c r="S13" i="15"/>
  <c r="R13" i="15"/>
  <c r="U8" i="15"/>
  <c r="T8" i="15"/>
  <c r="S8" i="15"/>
  <c r="R8" i="15"/>
  <c r="O15" i="15"/>
  <c r="N15" i="15"/>
  <c r="M15" i="15"/>
  <c r="L15" i="15"/>
  <c r="F15" i="15"/>
  <c r="G15" i="15"/>
  <c r="H15" i="15"/>
  <c r="I15" i="15" s="1"/>
  <c r="E15" i="15"/>
  <c r="L48" i="15"/>
  <c r="N39" i="15"/>
  <c r="M39" i="15"/>
  <c r="L39" i="15"/>
  <c r="N32" i="15"/>
  <c r="M32" i="15"/>
  <c r="O24" i="15"/>
  <c r="N24" i="15"/>
  <c r="M24" i="15"/>
  <c r="O50" i="15"/>
  <c r="N50" i="15"/>
  <c r="M50" i="15"/>
  <c r="L50" i="15"/>
  <c r="O48" i="15"/>
  <c r="N48" i="15"/>
  <c r="M48" i="15"/>
  <c r="O44" i="15"/>
  <c r="N44" i="15"/>
  <c r="M44" i="15"/>
  <c r="L44" i="15"/>
  <c r="O41" i="15"/>
  <c r="N41" i="15"/>
  <c r="M41" i="15"/>
  <c r="L41" i="15"/>
  <c r="O18" i="15"/>
  <c r="N18" i="15"/>
  <c r="M18" i="15"/>
  <c r="L18" i="15"/>
  <c r="O13" i="15"/>
  <c r="N13" i="15"/>
  <c r="M13" i="15"/>
  <c r="L13" i="15"/>
  <c r="O8" i="15"/>
  <c r="N8" i="15"/>
  <c r="M8" i="15"/>
  <c r="L8" i="15"/>
  <c r="G48" i="15"/>
  <c r="F48" i="15"/>
  <c r="E48" i="15"/>
  <c r="G44" i="15"/>
  <c r="F44" i="15"/>
  <c r="E44" i="15"/>
  <c r="E39" i="15"/>
  <c r="G39" i="15"/>
  <c r="F39" i="15"/>
  <c r="H32" i="15"/>
  <c r="G32" i="15"/>
  <c r="F32" i="15"/>
  <c r="E32" i="15"/>
  <c r="H24" i="15"/>
  <c r="I24" i="15" s="1"/>
  <c r="G24" i="15"/>
  <c r="F24" i="15"/>
  <c r="E24" i="15"/>
  <c r="E18" i="15"/>
  <c r="F50" i="15"/>
  <c r="G50" i="15"/>
  <c r="H50" i="15"/>
  <c r="I50" i="15" s="1"/>
  <c r="F41" i="15"/>
  <c r="G41" i="15"/>
  <c r="H41" i="15"/>
  <c r="I41" i="15" s="1"/>
  <c r="F18" i="15"/>
  <c r="G18" i="15"/>
  <c r="H18" i="15"/>
  <c r="F13" i="15"/>
  <c r="G13" i="15"/>
  <c r="H13" i="15"/>
  <c r="I13" i="15" s="1"/>
  <c r="F8" i="15"/>
  <c r="G8" i="15"/>
  <c r="H8" i="15"/>
  <c r="I8" i="15" s="1"/>
  <c r="E8" i="15"/>
  <c r="E13" i="15"/>
  <c r="E41" i="15"/>
  <c r="E50" i="15"/>
  <c r="U50" i="25"/>
  <c r="T50" i="25"/>
  <c r="S50" i="25"/>
  <c r="R50" i="25"/>
  <c r="O50" i="25"/>
  <c r="N50" i="25"/>
  <c r="M50" i="25"/>
  <c r="L50" i="25"/>
  <c r="H50" i="25"/>
  <c r="G50" i="25"/>
  <c r="F50" i="25"/>
  <c r="E50" i="25"/>
  <c r="U51" i="24"/>
  <c r="T51" i="24"/>
  <c r="S51" i="24"/>
  <c r="R51" i="24"/>
  <c r="O51" i="24"/>
  <c r="N51" i="24"/>
  <c r="M51" i="24"/>
  <c r="L51" i="24"/>
  <c r="H51" i="24"/>
  <c r="G51" i="24"/>
  <c r="F51" i="24"/>
  <c r="E51" i="24"/>
  <c r="J43" i="21"/>
  <c r="U51" i="21"/>
  <c r="T51" i="21"/>
  <c r="S51" i="21"/>
  <c r="R51" i="21"/>
  <c r="O51" i="21"/>
  <c r="N51" i="21"/>
  <c r="M51" i="21"/>
  <c r="L51" i="21"/>
  <c r="H51" i="21"/>
  <c r="G51" i="21"/>
  <c r="F51" i="21"/>
  <c r="E51" i="21"/>
  <c r="U50" i="23"/>
  <c r="T50" i="23"/>
  <c r="S50" i="23"/>
  <c r="R50" i="23"/>
  <c r="O50" i="23"/>
  <c r="N50" i="23"/>
  <c r="M50" i="23"/>
  <c r="L50" i="23"/>
  <c r="H50" i="23"/>
  <c r="G50" i="23"/>
  <c r="F50" i="23"/>
  <c r="E50" i="23"/>
  <c r="U51" i="31"/>
  <c r="T51" i="31"/>
  <c r="S51" i="31"/>
  <c r="R51" i="31"/>
  <c r="O51" i="31"/>
  <c r="N51" i="31"/>
  <c r="M51" i="31"/>
  <c r="L51" i="31"/>
  <c r="H51" i="31"/>
  <c r="G51" i="31"/>
  <c r="F51" i="31"/>
  <c r="E51" i="31"/>
  <c r="GO51" i="35"/>
  <c r="GN51" i="35"/>
  <c r="GM51" i="35"/>
  <c r="GL51" i="35"/>
  <c r="GI51" i="35"/>
  <c r="GH51" i="35"/>
  <c r="GG51" i="35"/>
  <c r="GF51" i="35"/>
  <c r="GB51" i="35"/>
  <c r="GA51" i="35"/>
  <c r="FZ51" i="35"/>
  <c r="FY51" i="35"/>
  <c r="P8" i="15" l="1"/>
  <c r="V51" i="24"/>
  <c r="V50" i="27"/>
  <c r="V50" i="15"/>
  <c r="P41" i="15"/>
  <c r="P13" i="15"/>
  <c r="V50" i="23"/>
  <c r="P51" i="31"/>
  <c r="I50" i="23"/>
  <c r="I51" i="31"/>
  <c r="V18" i="15"/>
  <c r="P51" i="24"/>
  <c r="I51" i="24"/>
  <c r="P50" i="27"/>
  <c r="I50" i="27"/>
  <c r="V41" i="15"/>
  <c r="P50" i="15"/>
  <c r="V15" i="15"/>
  <c r="V13" i="15"/>
  <c r="V8" i="15"/>
  <c r="P15" i="15"/>
  <c r="V50" i="25"/>
  <c r="P50" i="25"/>
  <c r="I50" i="25"/>
  <c r="V51" i="21"/>
  <c r="P50" i="23"/>
  <c r="V51" i="31"/>
  <c r="GP51" i="35"/>
  <c r="GJ51" i="35"/>
  <c r="GC51" i="35"/>
  <c r="V48" i="15"/>
  <c r="V44" i="15"/>
  <c r="V39" i="15"/>
  <c r="V32" i="15"/>
  <c r="V24" i="15"/>
  <c r="R24" i="15"/>
  <c r="R51" i="15"/>
  <c r="S51" i="15"/>
  <c r="T51" i="15"/>
  <c r="U51" i="15"/>
  <c r="P48" i="15"/>
  <c r="P44" i="15"/>
  <c r="O39" i="15"/>
  <c r="L32" i="15"/>
  <c r="O32" i="15"/>
  <c r="P32" i="15" s="1"/>
  <c r="P24" i="15"/>
  <c r="L24" i="15"/>
  <c r="L51" i="15" s="1"/>
  <c r="P18" i="15"/>
  <c r="N51" i="15"/>
  <c r="M51" i="15"/>
  <c r="H48" i="15"/>
  <c r="I48" i="15" s="1"/>
  <c r="H44" i="15"/>
  <c r="I44" i="15" s="1"/>
  <c r="H39" i="15"/>
  <c r="I32" i="15"/>
  <c r="E51" i="15"/>
  <c r="G51" i="15"/>
  <c r="F51" i="15"/>
  <c r="I18" i="15"/>
  <c r="I51" i="21"/>
  <c r="P51" i="21"/>
  <c r="I39" i="15" l="1"/>
  <c r="H51" i="15"/>
  <c r="I51" i="15" s="1"/>
  <c r="P39" i="15"/>
  <c r="O51" i="15"/>
  <c r="P51" i="15" s="1"/>
  <c r="V51" i="15"/>
  <c r="AQ51" i="15" l="1"/>
  <c r="AP51" i="15"/>
  <c r="AO51" i="15"/>
  <c r="AN51" i="15"/>
  <c r="AK51" i="15"/>
  <c r="AJ51" i="15"/>
  <c r="AI51" i="15"/>
  <c r="AH51" i="15"/>
  <c r="AB51" i="15"/>
  <c r="AC51" i="15"/>
  <c r="AD51" i="15"/>
  <c r="AA51" i="15"/>
  <c r="AS49" i="15"/>
  <c r="AS48" i="15"/>
  <c r="AS47" i="15"/>
  <c r="AS46" i="15"/>
  <c r="AS45" i="15"/>
  <c r="AS44" i="15"/>
  <c r="AS43" i="15"/>
  <c r="AS42" i="15"/>
  <c r="AS41" i="15"/>
  <c r="AS40" i="15"/>
  <c r="AS39" i="15"/>
  <c r="AS38" i="15"/>
  <c r="AS37" i="15"/>
  <c r="AS36" i="15"/>
  <c r="AS35" i="15"/>
  <c r="AS34" i="15"/>
  <c r="AS33" i="15"/>
  <c r="AS32" i="15"/>
  <c r="AS30" i="15"/>
  <c r="AS29" i="15"/>
  <c r="AS28" i="15"/>
  <c r="AS27" i="15"/>
  <c r="AS26" i="15"/>
  <c r="AS25" i="15"/>
  <c r="AS24" i="15"/>
  <c r="AS23" i="15"/>
  <c r="AS22" i="15"/>
  <c r="AS21" i="15"/>
  <c r="AS20" i="15"/>
  <c r="AS19" i="15"/>
  <c r="AS18" i="15"/>
  <c r="AS17" i="15"/>
  <c r="AS16" i="15"/>
  <c r="AS15" i="15"/>
  <c r="AS14" i="15"/>
  <c r="AS13" i="15"/>
  <c r="AS12" i="15"/>
  <c r="AS11" i="15"/>
  <c r="AS10" i="15"/>
  <c r="AS9" i="15"/>
  <c r="AS8" i="15"/>
  <c r="AS7" i="15"/>
  <c r="AS6" i="15"/>
  <c r="AM49" i="15"/>
  <c r="AM48" i="15"/>
  <c r="AM47" i="15"/>
  <c r="AM46" i="15"/>
  <c r="AM45" i="15"/>
  <c r="AM44" i="15"/>
  <c r="AM43" i="15"/>
  <c r="AM42" i="15"/>
  <c r="AM41" i="15"/>
  <c r="AM40" i="15"/>
  <c r="AM39" i="15"/>
  <c r="AM38" i="15"/>
  <c r="AM37" i="15"/>
  <c r="AM36" i="15"/>
  <c r="AM35" i="15"/>
  <c r="AM34" i="15"/>
  <c r="AM33" i="15"/>
  <c r="AM32" i="15"/>
  <c r="AM30" i="15"/>
  <c r="AM29" i="15"/>
  <c r="AM28" i="15"/>
  <c r="AM27" i="15"/>
  <c r="AM26" i="15"/>
  <c r="AM25" i="15"/>
  <c r="AM24" i="15"/>
  <c r="AM23" i="15"/>
  <c r="AM22" i="15"/>
  <c r="AM21" i="15"/>
  <c r="AM20" i="15"/>
  <c r="AM19" i="15"/>
  <c r="AM18" i="15"/>
  <c r="AM17" i="15"/>
  <c r="AM16" i="15"/>
  <c r="AM15" i="15"/>
  <c r="AM14" i="15"/>
  <c r="AM13" i="15"/>
  <c r="AM12" i="15"/>
  <c r="AM11" i="15"/>
  <c r="AM10" i="15"/>
  <c r="AM9" i="15"/>
  <c r="AM8" i="15"/>
  <c r="AM7" i="15"/>
  <c r="AM6" i="15"/>
  <c r="W49" i="15"/>
  <c r="W48" i="15"/>
  <c r="W47" i="15"/>
  <c r="W46" i="15"/>
  <c r="W45" i="15"/>
  <c r="W44" i="15"/>
  <c r="W43" i="15"/>
  <c r="W42" i="15"/>
  <c r="W41" i="15"/>
  <c r="W40" i="15"/>
  <c r="W39" i="15"/>
  <c r="W38" i="15"/>
  <c r="W37" i="15"/>
  <c r="W36" i="15"/>
  <c r="W35" i="15"/>
  <c r="W34" i="15"/>
  <c r="W33" i="15"/>
  <c r="W32" i="15"/>
  <c r="W30" i="15"/>
  <c r="W29" i="15"/>
  <c r="W28" i="15"/>
  <c r="W27" i="15"/>
  <c r="W26" i="15"/>
  <c r="W25" i="15"/>
  <c r="W24" i="15"/>
  <c r="W23" i="15"/>
  <c r="W22" i="15"/>
  <c r="W21" i="15"/>
  <c r="W20" i="15"/>
  <c r="W19" i="15"/>
  <c r="W18" i="15"/>
  <c r="W17" i="15"/>
  <c r="W16" i="15"/>
  <c r="W15" i="15"/>
  <c r="W14" i="15"/>
  <c r="W13" i="15"/>
  <c r="W12" i="15"/>
  <c r="W11" i="15"/>
  <c r="W10" i="15"/>
  <c r="W9" i="15"/>
  <c r="W8" i="15"/>
  <c r="W7" i="15"/>
  <c r="W6" i="15"/>
  <c r="Q49" i="15"/>
  <c r="Q48" i="15"/>
  <c r="Q47" i="15"/>
  <c r="Q46" i="15"/>
  <c r="Q45" i="15"/>
  <c r="Q44" i="15"/>
  <c r="Q43" i="15"/>
  <c r="Q42" i="15"/>
  <c r="Q41" i="15"/>
  <c r="Q40" i="15"/>
  <c r="Q39" i="15"/>
  <c r="Q38" i="15"/>
  <c r="Q37" i="15"/>
  <c r="Q36" i="15"/>
  <c r="Q35" i="15"/>
  <c r="Q34" i="15"/>
  <c r="Q33" i="15"/>
  <c r="Q32" i="15"/>
  <c r="Q30" i="15"/>
  <c r="Q29" i="15"/>
  <c r="Q28" i="15"/>
  <c r="Q27" i="15"/>
  <c r="Q26" i="15"/>
  <c r="Q25" i="15"/>
  <c r="Q24" i="15"/>
  <c r="Q23" i="15"/>
  <c r="Q22" i="15"/>
  <c r="Q21" i="15"/>
  <c r="Q20" i="15"/>
  <c r="Q19" i="15"/>
  <c r="Q18" i="15"/>
  <c r="Q17" i="15"/>
  <c r="Q16" i="15"/>
  <c r="Q15" i="15"/>
  <c r="Q14" i="15"/>
  <c r="Q13" i="15"/>
  <c r="Q12" i="15"/>
  <c r="Q11" i="15"/>
  <c r="Q10" i="15"/>
  <c r="Q9" i="15"/>
  <c r="Q8" i="15"/>
  <c r="Q7" i="15"/>
  <c r="Q6" i="15"/>
  <c r="J43" i="24"/>
  <c r="GD43" i="35"/>
  <c r="J43" i="36"/>
  <c r="E51" i="36"/>
  <c r="AR51" i="15" l="1"/>
  <c r="AL51" i="15"/>
  <c r="AE51" i="15"/>
  <c r="AJ17" i="38"/>
  <c r="AK17" i="38"/>
  <c r="AC17" i="38"/>
  <c r="AN24" i="38"/>
  <c r="AP16" i="38"/>
  <c r="AQ11" i="38"/>
  <c r="AP11" i="38"/>
  <c r="AN11" i="38"/>
  <c r="AR8" i="38"/>
  <c r="AP8" i="38"/>
  <c r="AN8" i="38"/>
  <c r="AH24" i="38"/>
  <c r="AJ16" i="38"/>
  <c r="AI16" i="38"/>
  <c r="AH16" i="38"/>
  <c r="AL11" i="38"/>
  <c r="AL8" i="38"/>
  <c r="AC24" i="38"/>
  <c r="AA24" i="38"/>
  <c r="AA16" i="38"/>
  <c r="AC16" i="38"/>
  <c r="AB16" i="38"/>
  <c r="AE11" i="38"/>
  <c r="AA11" i="38"/>
  <c r="AD8" i="38"/>
  <c r="AC8" i="38"/>
  <c r="AB8" i="38"/>
  <c r="AA8" i="38"/>
  <c r="AA27" i="38" s="1"/>
  <c r="AA30" i="38" s="1"/>
  <c r="AR25" i="38"/>
  <c r="AQ25" i="38"/>
  <c r="AP25" i="38"/>
  <c r="AL25" i="38"/>
  <c r="AK25" i="38"/>
  <c r="AJ25" i="38"/>
  <c r="AE25" i="38"/>
  <c r="AD25" i="38"/>
  <c r="AC25" i="38"/>
  <c r="AQ24" i="38"/>
  <c r="AP24" i="38"/>
  <c r="AR24" i="38" s="1"/>
  <c r="AO24" i="38"/>
  <c r="AK24" i="38"/>
  <c r="AJ24" i="38"/>
  <c r="AL24" i="38" s="1"/>
  <c r="AD24" i="38"/>
  <c r="AQ17" i="38"/>
  <c r="AP17" i="38"/>
  <c r="AR17" i="38" s="1"/>
  <c r="AD17" i="38"/>
  <c r="AQ16" i="38"/>
  <c r="AK16" i="38"/>
  <c r="AD16" i="38"/>
  <c r="AK11" i="38"/>
  <c r="AJ11" i="38"/>
  <c r="AI11" i="38"/>
  <c r="AH11" i="38"/>
  <c r="AD11" i="38"/>
  <c r="AC11" i="38"/>
  <c r="AB11" i="38"/>
  <c r="AQ8" i="38"/>
  <c r="AO8" i="38"/>
  <c r="AK8" i="38"/>
  <c r="AJ8" i="38"/>
  <c r="AI8" i="38"/>
  <c r="AH8" i="38"/>
  <c r="AQ14" i="32"/>
  <c r="AP14" i="32"/>
  <c r="AO14" i="32"/>
  <c r="AQ8" i="32"/>
  <c r="AP8" i="32"/>
  <c r="AR8" i="32" s="1"/>
  <c r="AO8" i="32"/>
  <c r="AN8" i="32"/>
  <c r="AK8" i="32"/>
  <c r="AJ8" i="32"/>
  <c r="AL8" i="32" s="1"/>
  <c r="AI8" i="32"/>
  <c r="AH8" i="32"/>
  <c r="AD8" i="32"/>
  <c r="AC8" i="32"/>
  <c r="AE8" i="32" s="1"/>
  <c r="AB8" i="32"/>
  <c r="AA8" i="32"/>
  <c r="AH14" i="32"/>
  <c r="AD14" i="32"/>
  <c r="AC14" i="32"/>
  <c r="AB14" i="32"/>
  <c r="AA14" i="32"/>
  <c r="AN14" i="32"/>
  <c r="AK14" i="32"/>
  <c r="AJ14" i="32"/>
  <c r="AI14" i="32"/>
  <c r="AS24" i="27"/>
  <c r="AS15" i="27"/>
  <c r="AP50" i="27"/>
  <c r="AP53" i="27" s="1"/>
  <c r="AO50" i="27"/>
  <c r="AO53" i="27" s="1"/>
  <c r="AK50" i="27"/>
  <c r="AK53" i="27" s="1"/>
  <c r="AJ50" i="27"/>
  <c r="AJ53" i="27" s="1"/>
  <c r="AI50" i="27"/>
  <c r="AI53" i="27" s="1"/>
  <c r="AF32" i="27"/>
  <c r="AF20" i="27"/>
  <c r="AC50" i="27"/>
  <c r="AC53" i="27" s="1"/>
  <c r="AB50" i="27"/>
  <c r="AB53" i="27" s="1"/>
  <c r="AA50" i="27"/>
  <c r="AA53" i="27" s="1"/>
  <c r="AQ50" i="27"/>
  <c r="AQ53" i="27" s="1"/>
  <c r="J7" i="15"/>
  <c r="J8" i="15"/>
  <c r="J9" i="15"/>
  <c r="J10" i="15"/>
  <c r="J11" i="15"/>
  <c r="J12" i="15"/>
  <c r="J13" i="15"/>
  <c r="J14" i="15"/>
  <c r="J15" i="15"/>
  <c r="J16" i="15"/>
  <c r="J17" i="15"/>
  <c r="J18" i="15"/>
  <c r="J19" i="15"/>
  <c r="J20" i="15"/>
  <c r="J21" i="15"/>
  <c r="J22" i="15"/>
  <c r="J23" i="15"/>
  <c r="J24" i="15"/>
  <c r="J25" i="15"/>
  <c r="J26" i="15"/>
  <c r="J27" i="15"/>
  <c r="J28" i="15"/>
  <c r="J29" i="15"/>
  <c r="J30" i="15"/>
  <c r="J32" i="15"/>
  <c r="J33" i="15"/>
  <c r="J34" i="15"/>
  <c r="J35" i="15"/>
  <c r="J36" i="15"/>
  <c r="J37" i="15"/>
  <c r="J38" i="15"/>
  <c r="J39" i="15"/>
  <c r="J40" i="15"/>
  <c r="J41" i="15"/>
  <c r="J42" i="15"/>
  <c r="J43" i="15"/>
  <c r="J44" i="15"/>
  <c r="J45" i="15"/>
  <c r="J46" i="15"/>
  <c r="J47" i="15"/>
  <c r="J48" i="15"/>
  <c r="J49" i="15"/>
  <c r="J6" i="15"/>
  <c r="AO50" i="25"/>
  <c r="AO53" i="25" s="1"/>
  <c r="AQ50" i="25"/>
  <c r="AQ53" i="25" s="1"/>
  <c r="AM12" i="25"/>
  <c r="AJ50" i="25"/>
  <c r="AJ53" i="25" s="1"/>
  <c r="AD50" i="25"/>
  <c r="AD53" i="25" s="1"/>
  <c r="AC50" i="25"/>
  <c r="AC53" i="25" s="1"/>
  <c r="AI50" i="25"/>
  <c r="AI53" i="25" s="1"/>
  <c r="AB50" i="25"/>
  <c r="AB53" i="25" s="1"/>
  <c r="AP51" i="24"/>
  <c r="AP54" i="24" s="1"/>
  <c r="AQ51" i="24"/>
  <c r="AQ54" i="24" s="1"/>
  <c r="AM12" i="24"/>
  <c r="AJ51" i="24"/>
  <c r="AJ54" i="24" s="1"/>
  <c r="AH51" i="24"/>
  <c r="AH54" i="24" s="1"/>
  <c r="AC51" i="24"/>
  <c r="AC54" i="24" s="1"/>
  <c r="AB51" i="24"/>
  <c r="AB54" i="24" s="1"/>
  <c r="AI51" i="24"/>
  <c r="AI54" i="24" s="1"/>
  <c r="AQ51" i="21"/>
  <c r="AQ54" i="21" s="1"/>
  <c r="AP51" i="21"/>
  <c r="AP54" i="21" s="1"/>
  <c r="AO51" i="21"/>
  <c r="AO54" i="21" s="1"/>
  <c r="AN51" i="21"/>
  <c r="AN54" i="21" s="1"/>
  <c r="AK51" i="21"/>
  <c r="AJ51" i="21"/>
  <c r="AJ54" i="21" s="1"/>
  <c r="AI51" i="21"/>
  <c r="AI54" i="21" s="1"/>
  <c r="AH51" i="21"/>
  <c r="AH54" i="21" s="1"/>
  <c r="AB51" i="21"/>
  <c r="AB54" i="21" s="1"/>
  <c r="AC51" i="21"/>
  <c r="AC54" i="21" s="1"/>
  <c r="AD51" i="21"/>
  <c r="AD54" i="21" s="1"/>
  <c r="AA51" i="21"/>
  <c r="AA54" i="21" s="1"/>
  <c r="AS36" i="21"/>
  <c r="AS12" i="21"/>
  <c r="AM20" i="21"/>
  <c r="AM12" i="21"/>
  <c r="AM8" i="21"/>
  <c r="AF28" i="21"/>
  <c r="AF24" i="21"/>
  <c r="AQ50" i="23"/>
  <c r="AQ53" i="23" s="1"/>
  <c r="AP50" i="23"/>
  <c r="AP53" i="23" s="1"/>
  <c r="AI50" i="23"/>
  <c r="AI53" i="23" s="1"/>
  <c r="AH50" i="23"/>
  <c r="AH53" i="23" s="1"/>
  <c r="AD50" i="23"/>
  <c r="AD53" i="23" s="1"/>
  <c r="AB50" i="23"/>
  <c r="AB53" i="23" s="1"/>
  <c r="AJ50" i="23"/>
  <c r="AJ53" i="23" s="1"/>
  <c r="AQ51" i="31"/>
  <c r="AP51" i="31"/>
  <c r="AP54" i="31" s="1"/>
  <c r="AO51" i="31"/>
  <c r="AO54" i="31" s="1"/>
  <c r="AN51" i="31"/>
  <c r="AN54" i="31" s="1"/>
  <c r="AK51" i="31"/>
  <c r="AJ51" i="31"/>
  <c r="AJ54" i="31" s="1"/>
  <c r="AI51" i="31"/>
  <c r="AI54" i="31" s="1"/>
  <c r="AH51" i="31"/>
  <c r="AH54" i="31" s="1"/>
  <c r="AS23" i="31"/>
  <c r="AM23" i="31"/>
  <c r="AM18" i="31"/>
  <c r="AF17" i="31"/>
  <c r="AC51" i="31"/>
  <c r="AC54" i="31" s="1"/>
  <c r="AB51" i="31"/>
  <c r="AB54" i="31" s="1"/>
  <c r="AA51" i="31"/>
  <c r="AA54" i="31" s="1"/>
  <c r="HK51" i="35"/>
  <c r="HK54" i="35" s="1"/>
  <c r="HJ51" i="35"/>
  <c r="HJ54" i="35" s="1"/>
  <c r="HI51" i="35"/>
  <c r="HI54" i="35" s="1"/>
  <c r="HH51" i="35"/>
  <c r="HH54" i="35" s="1"/>
  <c r="HM12" i="35"/>
  <c r="HM8" i="35"/>
  <c r="HC51" i="35"/>
  <c r="HC54" i="35" s="1"/>
  <c r="HE51" i="35"/>
  <c r="HE54" i="35" s="1"/>
  <c r="HD51" i="35"/>
  <c r="HD54" i="35" s="1"/>
  <c r="HB51" i="35"/>
  <c r="HB54" i="35" s="1"/>
  <c r="GV51" i="35"/>
  <c r="GV54" i="35" s="1"/>
  <c r="GW51" i="35"/>
  <c r="GW54" i="35" s="1"/>
  <c r="GX51" i="35"/>
  <c r="GU51" i="35"/>
  <c r="GU54" i="35" s="1"/>
  <c r="GZ15" i="35"/>
  <c r="AQ51" i="36"/>
  <c r="AP51" i="36"/>
  <c r="AP54" i="36" s="1"/>
  <c r="AO51" i="36"/>
  <c r="AO54" i="36" s="1"/>
  <c r="AN51" i="36"/>
  <c r="AK51" i="36"/>
  <c r="AJ51" i="36"/>
  <c r="AI51" i="36"/>
  <c r="AI54" i="36" s="1"/>
  <c r="AH51" i="36"/>
  <c r="AH54" i="36" s="1"/>
  <c r="AB51" i="36"/>
  <c r="AB54" i="36" s="1"/>
  <c r="AC51" i="36"/>
  <c r="AC54" i="36" s="1"/>
  <c r="AD51" i="36"/>
  <c r="AA51" i="36"/>
  <c r="AA54" i="36" s="1"/>
  <c r="AN54" i="36" l="1"/>
  <c r="AR14" i="32"/>
  <c r="AE14" i="32"/>
  <c r="AL14" i="32"/>
  <c r="AQ54" i="31"/>
  <c r="AR51" i="31"/>
  <c r="AR54" i="31" s="1"/>
  <c r="AL51" i="31"/>
  <c r="AL54" i="31" s="1"/>
  <c r="AK54" i="31"/>
  <c r="AJ54" i="36"/>
  <c r="HL51" i="35"/>
  <c r="HL54" i="35" s="1"/>
  <c r="GX54" i="35"/>
  <c r="GY51" i="35"/>
  <c r="GY54" i="35" s="1"/>
  <c r="AR51" i="36"/>
  <c r="AR54" i="36" s="1"/>
  <c r="AQ54" i="36"/>
  <c r="AK54" i="36"/>
  <c r="AL51" i="36"/>
  <c r="AL54" i="36" s="1"/>
  <c r="AD54" i="36"/>
  <c r="AE51" i="36"/>
  <c r="AE54" i="36" s="1"/>
  <c r="AE51" i="21"/>
  <c r="AE54" i="21" s="1"/>
  <c r="AL51" i="21"/>
  <c r="AL54" i="21" s="1"/>
  <c r="AK54" i="21"/>
  <c r="AR51" i="21"/>
  <c r="AR54" i="21" s="1"/>
  <c r="AL17" i="38"/>
  <c r="AE17" i="38"/>
  <c r="AO16" i="38"/>
  <c r="AR16" i="38"/>
  <c r="AN16" i="38"/>
  <c r="AQ27" i="38"/>
  <c r="AQ30" i="38" s="1"/>
  <c r="AR11" i="38"/>
  <c r="AO11" i="38"/>
  <c r="AO27" i="38" s="1"/>
  <c r="AO30" i="38" s="1"/>
  <c r="AP27" i="38"/>
  <c r="AP30" i="38" s="1"/>
  <c r="AN27" i="38"/>
  <c r="AN30" i="38" s="1"/>
  <c r="AI24" i="38"/>
  <c r="AJ27" i="38"/>
  <c r="AJ30" i="38" s="1"/>
  <c r="AL16" i="38"/>
  <c r="AI27" i="38"/>
  <c r="AI30" i="38" s="1"/>
  <c r="AK27" i="38"/>
  <c r="AH27" i="38"/>
  <c r="AH30" i="38" s="1"/>
  <c r="AB24" i="38"/>
  <c r="AE24" i="38"/>
  <c r="AE16" i="38"/>
  <c r="AE8" i="38"/>
  <c r="AB27" i="38"/>
  <c r="AB30" i="38" s="1"/>
  <c r="AD27" i="38"/>
  <c r="AD30" i="38" s="1"/>
  <c r="AC27" i="38"/>
  <c r="AC30" i="38" s="1"/>
  <c r="AF9" i="15"/>
  <c r="AF49" i="15"/>
  <c r="AF14" i="15"/>
  <c r="AF44" i="15"/>
  <c r="AF25" i="15"/>
  <c r="AF42" i="15"/>
  <c r="AF26" i="15"/>
  <c r="AF17" i="15"/>
  <c r="AF16" i="15"/>
  <c r="AF29" i="15"/>
  <c r="AF24" i="15"/>
  <c r="AF41" i="15"/>
  <c r="AF39" i="15"/>
  <c r="AM14" i="32"/>
  <c r="AF14" i="32"/>
  <c r="AS13" i="32"/>
  <c r="AS11" i="32"/>
  <c r="AS8" i="32"/>
  <c r="AS7" i="32"/>
  <c r="AS9" i="32"/>
  <c r="AS12" i="32"/>
  <c r="AS6" i="32"/>
  <c r="AS10" i="32"/>
  <c r="AF9" i="32"/>
  <c r="AF12" i="32"/>
  <c r="AF10" i="32"/>
  <c r="AF6" i="32"/>
  <c r="AF13" i="32"/>
  <c r="AF7" i="32"/>
  <c r="AF11" i="32"/>
  <c r="AF8" i="32"/>
  <c r="AM13" i="32"/>
  <c r="AM11" i="32"/>
  <c r="AM6" i="32"/>
  <c r="AM7" i="32"/>
  <c r="AM12" i="32"/>
  <c r="AM8" i="32"/>
  <c r="AM10" i="32"/>
  <c r="AM9" i="32"/>
  <c r="AS14" i="32"/>
  <c r="AS28" i="27"/>
  <c r="AS8" i="27"/>
  <c r="AS16" i="27"/>
  <c r="AS45" i="27"/>
  <c r="AS33" i="27"/>
  <c r="AS17" i="27"/>
  <c r="AS38" i="27"/>
  <c r="AS13" i="27"/>
  <c r="AS22" i="27"/>
  <c r="AS34" i="27"/>
  <c r="AS39" i="27"/>
  <c r="AS9" i="27"/>
  <c r="AS6" i="27"/>
  <c r="AS25" i="27"/>
  <c r="AS41" i="27"/>
  <c r="AS43" i="27"/>
  <c r="AS20" i="27"/>
  <c r="AS10" i="27"/>
  <c r="AS14" i="27"/>
  <c r="AS35" i="27"/>
  <c r="AS27" i="27"/>
  <c r="AS7" i="27"/>
  <c r="AS19" i="27"/>
  <c r="AS31" i="27"/>
  <c r="AS32" i="27"/>
  <c r="AS12" i="27"/>
  <c r="AS37" i="27"/>
  <c r="AS21" i="27"/>
  <c r="AS29" i="27"/>
  <c r="AS42" i="27"/>
  <c r="AN50" i="27"/>
  <c r="AN53" i="27" s="1"/>
  <c r="AS46" i="27"/>
  <c r="AS26" i="27"/>
  <c r="AS30" i="27"/>
  <c r="AS18" i="27"/>
  <c r="AS23" i="27"/>
  <c r="AS47" i="27"/>
  <c r="AS11" i="27"/>
  <c r="AS36" i="27"/>
  <c r="AS44" i="27"/>
  <c r="AS48" i="27"/>
  <c r="AR50" i="27"/>
  <c r="AR53" i="27" s="1"/>
  <c r="AH50" i="27"/>
  <c r="AH53" i="27" s="1"/>
  <c r="AM37" i="27"/>
  <c r="AM21" i="27"/>
  <c r="AM9" i="27"/>
  <c r="AM14" i="27"/>
  <c r="AL50" i="27"/>
  <c r="AL53" i="27" s="1"/>
  <c r="AM44" i="27"/>
  <c r="AM12" i="27"/>
  <c r="AM25" i="27"/>
  <c r="AM29" i="27"/>
  <c r="AM42" i="27"/>
  <c r="AM7" i="27"/>
  <c r="AF8" i="27"/>
  <c r="AF37" i="27"/>
  <c r="AF26" i="27"/>
  <c r="AF18" i="27"/>
  <c r="AF23" i="27"/>
  <c r="AF43" i="27"/>
  <c r="AF21" i="27"/>
  <c r="AF13" i="27"/>
  <c r="AF42" i="27"/>
  <c r="AF22" i="27"/>
  <c r="AF39" i="27"/>
  <c r="AF19" i="27"/>
  <c r="AF31" i="27"/>
  <c r="AF12" i="27"/>
  <c r="AF38" i="27"/>
  <c r="AF34" i="27"/>
  <c r="AF10" i="27"/>
  <c r="AF14" i="27"/>
  <c r="AF27" i="27"/>
  <c r="AF47" i="27"/>
  <c r="AF15" i="27"/>
  <c r="AF28" i="27"/>
  <c r="AF16" i="27"/>
  <c r="AF33" i="27"/>
  <c r="AF17" i="27"/>
  <c r="AF29" i="27"/>
  <c r="AF46" i="27"/>
  <c r="AF25" i="27"/>
  <c r="AF6" i="27"/>
  <c r="AF9" i="27"/>
  <c r="AF41" i="27"/>
  <c r="AF45" i="27"/>
  <c r="AF30" i="27"/>
  <c r="AF7" i="27"/>
  <c r="AF35" i="27"/>
  <c r="AF11" i="27"/>
  <c r="AF24" i="27"/>
  <c r="AF36" i="27"/>
  <c r="AF44" i="27"/>
  <c r="AF48" i="27"/>
  <c r="AD50" i="27"/>
  <c r="AS33" i="25"/>
  <c r="AS38" i="25"/>
  <c r="AS24" i="25"/>
  <c r="AS28" i="25"/>
  <c r="AS9" i="25"/>
  <c r="AS21" i="25"/>
  <c r="AS29" i="25"/>
  <c r="AS13" i="25"/>
  <c r="AS17" i="25"/>
  <c r="AS42" i="25"/>
  <c r="AS46" i="25"/>
  <c r="AS43" i="25"/>
  <c r="AS47" i="25"/>
  <c r="AN50" i="25"/>
  <c r="AN53" i="25" s="1"/>
  <c r="AS23" i="25"/>
  <c r="AS27" i="25"/>
  <c r="AS35" i="25"/>
  <c r="AS7" i="25"/>
  <c r="AP50" i="25"/>
  <c r="AM37" i="25"/>
  <c r="AM45" i="25"/>
  <c r="AM33" i="25"/>
  <c r="AM9" i="25"/>
  <c r="AM13" i="25"/>
  <c r="AM17" i="25"/>
  <c r="AM26" i="25"/>
  <c r="AM46" i="25"/>
  <c r="AM30" i="25"/>
  <c r="AM14" i="25"/>
  <c r="AM18" i="25"/>
  <c r="AM43" i="25"/>
  <c r="AM27" i="25"/>
  <c r="AM31" i="25"/>
  <c r="AM19" i="25"/>
  <c r="AM24" i="25"/>
  <c r="AM32" i="25"/>
  <c r="AM8" i="25"/>
  <c r="AM20" i="25"/>
  <c r="AM41" i="25"/>
  <c r="AM25" i="25"/>
  <c r="AM29" i="25"/>
  <c r="AM21" i="25"/>
  <c r="AM42" i="25"/>
  <c r="AH50" i="25"/>
  <c r="AH53" i="25" s="1"/>
  <c r="AM38" i="25"/>
  <c r="AM10" i="25"/>
  <c r="AM34" i="25"/>
  <c r="AM22" i="25"/>
  <c r="AM6" i="25"/>
  <c r="AM16" i="25"/>
  <c r="AM39" i="25"/>
  <c r="AM47" i="25"/>
  <c r="AM11" i="25"/>
  <c r="AM23" i="25"/>
  <c r="AM35" i="25"/>
  <c r="AM7" i="25"/>
  <c r="AM15" i="25"/>
  <c r="AM40" i="25"/>
  <c r="AM44" i="25"/>
  <c r="AM28" i="25"/>
  <c r="AM36" i="25"/>
  <c r="AM48" i="25"/>
  <c r="AK50" i="25"/>
  <c r="AF45" i="25"/>
  <c r="AF21" i="25"/>
  <c r="AF33" i="25"/>
  <c r="AF29" i="25"/>
  <c r="AF17" i="25"/>
  <c r="AF38" i="25"/>
  <c r="AA50" i="25"/>
  <c r="AA53" i="25" s="1"/>
  <c r="AE50" i="25"/>
  <c r="AE53" i="25" s="1"/>
  <c r="AF10" i="25"/>
  <c r="AF18" i="25"/>
  <c r="AF43" i="25"/>
  <c r="AF14" i="25"/>
  <c r="AF35" i="25"/>
  <c r="AF47" i="25"/>
  <c r="AO51" i="24"/>
  <c r="AO54" i="24" s="1"/>
  <c r="AS14" i="24"/>
  <c r="AM8" i="24"/>
  <c r="AF7" i="24"/>
  <c r="AS23" i="24"/>
  <c r="AS35" i="24"/>
  <c r="AS47" i="24"/>
  <c r="AS27" i="24"/>
  <c r="AS7" i="24"/>
  <c r="AS19" i="24"/>
  <c r="AS31" i="24"/>
  <c r="AS40" i="24"/>
  <c r="AS11" i="24"/>
  <c r="AS36" i="24"/>
  <c r="AS44" i="24"/>
  <c r="AS15" i="24"/>
  <c r="AS24" i="24"/>
  <c r="AS20" i="24"/>
  <c r="AS32" i="24"/>
  <c r="AS8" i="24"/>
  <c r="AS12" i="24"/>
  <c r="AS16" i="24"/>
  <c r="AS37" i="24"/>
  <c r="AS45" i="24"/>
  <c r="AS21" i="24"/>
  <c r="AS33" i="24"/>
  <c r="AS29" i="24"/>
  <c r="AS17" i="24"/>
  <c r="AS38" i="24"/>
  <c r="AN51" i="24"/>
  <c r="AN54" i="24" s="1"/>
  <c r="AS13" i="24"/>
  <c r="AS46" i="24"/>
  <c r="AS26" i="24"/>
  <c r="AS34" i="24"/>
  <c r="AS30" i="24"/>
  <c r="AS39" i="24"/>
  <c r="AS49" i="24"/>
  <c r="AS41" i="24"/>
  <c r="AS6" i="24"/>
  <c r="AS25" i="24"/>
  <c r="AS9" i="24"/>
  <c r="AS10" i="24"/>
  <c r="AS18" i="24"/>
  <c r="AR51" i="24"/>
  <c r="AR54" i="24" s="1"/>
  <c r="AM16" i="24"/>
  <c r="AM21" i="24"/>
  <c r="AM13" i="24"/>
  <c r="AM42" i="24"/>
  <c r="AM26" i="24"/>
  <c r="AM30" i="24"/>
  <c r="AM14" i="24"/>
  <c r="AM47" i="24"/>
  <c r="AM20" i="24"/>
  <c r="AM41" i="24"/>
  <c r="AM25" i="24"/>
  <c r="AM45" i="24"/>
  <c r="AM33" i="24"/>
  <c r="AM46" i="24"/>
  <c r="AM40" i="24"/>
  <c r="AM44" i="24"/>
  <c r="AM32" i="24"/>
  <c r="AM37" i="24"/>
  <c r="AM9" i="24"/>
  <c r="AM29" i="24"/>
  <c r="AM17" i="24"/>
  <c r="AM38" i="24"/>
  <c r="AM10" i="24"/>
  <c r="AM22" i="24"/>
  <c r="AM34" i="24"/>
  <c r="AM49" i="24"/>
  <c r="AM6" i="24"/>
  <c r="AM18" i="24"/>
  <c r="AM39" i="24"/>
  <c r="AM23" i="24"/>
  <c r="AM27" i="24"/>
  <c r="AM7" i="24"/>
  <c r="AM11" i="24"/>
  <c r="AM31" i="24"/>
  <c r="AM35" i="24"/>
  <c r="AM15" i="24"/>
  <c r="AM19" i="24"/>
  <c r="AM24" i="24"/>
  <c r="AM28" i="24"/>
  <c r="AM36" i="24"/>
  <c r="AM48" i="24"/>
  <c r="AK51" i="24"/>
  <c r="AF32" i="24"/>
  <c r="AF24" i="24"/>
  <c r="AF33" i="24"/>
  <c r="AF38" i="24"/>
  <c r="AF36" i="24"/>
  <c r="AF8" i="24"/>
  <c r="AF21" i="24"/>
  <c r="AF9" i="24"/>
  <c r="AF46" i="24"/>
  <c r="AF10" i="24"/>
  <c r="AF39" i="24"/>
  <c r="AF28" i="24"/>
  <c r="AF41" i="24"/>
  <c r="AF37" i="24"/>
  <c r="AF29" i="24"/>
  <c r="AF34" i="24"/>
  <c r="AF47" i="24"/>
  <c r="AF49" i="24"/>
  <c r="AF6" i="24"/>
  <c r="AF16" i="24"/>
  <c r="AF27" i="24"/>
  <c r="AF35" i="24"/>
  <c r="AF19" i="24"/>
  <c r="AF20" i="24"/>
  <c r="AF25" i="24"/>
  <c r="AF13" i="24"/>
  <c r="AF26" i="24"/>
  <c r="AF30" i="24"/>
  <c r="AF18" i="24"/>
  <c r="AF23" i="24"/>
  <c r="AF31" i="24"/>
  <c r="AF15" i="24"/>
  <c r="AF12" i="24"/>
  <c r="AF45" i="24"/>
  <c r="AF42" i="24"/>
  <c r="AF17" i="24"/>
  <c r="AA51" i="24"/>
  <c r="AA54" i="24" s="1"/>
  <c r="AF22" i="24"/>
  <c r="AF14" i="24"/>
  <c r="AF11" i="24"/>
  <c r="AF40" i="24"/>
  <c r="AF44" i="24"/>
  <c r="AF48" i="24"/>
  <c r="AD51" i="24"/>
  <c r="AS41" i="21"/>
  <c r="AS42" i="21"/>
  <c r="AS21" i="21"/>
  <c r="AS8" i="21"/>
  <c r="AS9" i="21"/>
  <c r="AS44" i="21"/>
  <c r="AS32" i="21"/>
  <c r="AS20" i="21"/>
  <c r="AS29" i="21"/>
  <c r="AS26" i="21"/>
  <c r="AS38" i="21"/>
  <c r="AS10" i="21"/>
  <c r="AS14" i="21"/>
  <c r="AS39" i="21"/>
  <c r="AS48" i="21"/>
  <c r="AS11" i="21"/>
  <c r="AS23" i="21"/>
  <c r="AS31" i="21"/>
  <c r="AS45" i="21"/>
  <c r="AS35" i="21"/>
  <c r="AS46" i="21"/>
  <c r="AS16" i="21"/>
  <c r="AS33" i="21"/>
  <c r="AS30" i="21"/>
  <c r="AS22" i="21"/>
  <c r="AS6" i="21"/>
  <c r="AS40" i="21"/>
  <c r="AS24" i="21"/>
  <c r="AS25" i="21"/>
  <c r="AS37" i="21"/>
  <c r="AS13" i="21"/>
  <c r="AS47" i="21"/>
  <c r="AS17" i="21"/>
  <c r="AS34" i="21"/>
  <c r="AS27" i="21"/>
  <c r="AS18" i="21"/>
  <c r="AS7" i="21"/>
  <c r="AS15" i="21"/>
  <c r="AS28" i="21"/>
  <c r="AS19" i="21"/>
  <c r="AS49" i="21"/>
  <c r="AM32" i="21"/>
  <c r="AM37" i="21"/>
  <c r="AM33" i="21"/>
  <c r="AM13" i="21"/>
  <c r="AM42" i="21"/>
  <c r="AM26" i="21"/>
  <c r="AM30" i="21"/>
  <c r="AM14" i="21"/>
  <c r="AM7" i="21"/>
  <c r="AM35" i="21"/>
  <c r="AM21" i="21"/>
  <c r="AM22" i="21"/>
  <c r="AM44" i="21"/>
  <c r="AM15" i="21"/>
  <c r="AM19" i="21"/>
  <c r="AM41" i="21"/>
  <c r="AM25" i="21"/>
  <c r="AM9" i="21"/>
  <c r="AM17" i="21"/>
  <c r="AM47" i="21"/>
  <c r="AM10" i="21"/>
  <c r="AM6" i="21"/>
  <c r="AM39" i="21"/>
  <c r="AM23" i="21"/>
  <c r="AM48" i="21"/>
  <c r="AM31" i="21"/>
  <c r="AM40" i="21"/>
  <c r="AM45" i="21"/>
  <c r="AM16" i="21"/>
  <c r="AM46" i="21"/>
  <c r="AM29" i="21"/>
  <c r="AM38" i="21"/>
  <c r="AM34" i="21"/>
  <c r="AM18" i="21"/>
  <c r="AM27" i="21"/>
  <c r="AM11" i="21"/>
  <c r="AM24" i="21"/>
  <c r="AM28" i="21"/>
  <c r="AM36" i="21"/>
  <c r="AM49" i="21"/>
  <c r="AF12" i="21"/>
  <c r="AF46" i="21"/>
  <c r="AF9" i="21"/>
  <c r="AF16" i="21"/>
  <c r="AF25" i="21"/>
  <c r="AF21" i="21"/>
  <c r="AF17" i="21"/>
  <c r="AF30" i="21"/>
  <c r="AF22" i="21"/>
  <c r="AF14" i="21"/>
  <c r="AF23" i="21"/>
  <c r="AF41" i="21"/>
  <c r="AF33" i="21"/>
  <c r="AF34" i="21"/>
  <c r="AF44" i="21"/>
  <c r="AF35" i="21"/>
  <c r="AF32" i="21"/>
  <c r="AF8" i="21"/>
  <c r="AF42" i="21"/>
  <c r="AF47" i="21"/>
  <c r="AF39" i="21"/>
  <c r="AF48" i="21"/>
  <c r="AF27" i="21"/>
  <c r="AF11" i="21"/>
  <c r="AF19" i="21"/>
  <c r="AF40" i="21"/>
  <c r="AF45" i="21"/>
  <c r="AF20" i="21"/>
  <c r="AF37" i="21"/>
  <c r="AF29" i="21"/>
  <c r="AF13" i="21"/>
  <c r="AF38" i="21"/>
  <c r="AF26" i="21"/>
  <c r="AF10" i="21"/>
  <c r="AF18" i="21"/>
  <c r="AF6" i="21"/>
  <c r="AF31" i="21"/>
  <c r="AF15" i="21"/>
  <c r="AF7" i="21"/>
  <c r="AF36" i="21"/>
  <c r="AF49" i="21"/>
  <c r="AR50" i="23"/>
  <c r="AR53" i="23" s="1"/>
  <c r="AN50" i="23"/>
  <c r="AN53" i="23" s="1"/>
  <c r="AS39" i="23"/>
  <c r="AO50" i="23"/>
  <c r="AO53" i="23" s="1"/>
  <c r="AM23" i="23"/>
  <c r="AK50" i="23"/>
  <c r="AK53" i="23" s="1"/>
  <c r="AA50" i="23"/>
  <c r="AA53" i="23" s="1"/>
  <c r="AF20" i="23"/>
  <c r="AC50" i="23"/>
  <c r="AL50" i="23"/>
  <c r="AL53" i="23" s="1"/>
  <c r="AS42" i="23"/>
  <c r="AS9" i="23"/>
  <c r="AS18" i="23"/>
  <c r="AS37" i="23"/>
  <c r="AS25" i="23"/>
  <c r="AS8" i="23"/>
  <c r="AS24" i="23"/>
  <c r="AS38" i="23"/>
  <c r="AS20" i="23"/>
  <c r="AS16" i="23"/>
  <c r="AS21" i="23"/>
  <c r="AS36" i="23"/>
  <c r="AS48" i="23"/>
  <c r="AS32" i="23"/>
  <c r="AS7" i="23"/>
  <c r="AS19" i="23"/>
  <c r="AS33" i="23"/>
  <c r="AS46" i="23"/>
  <c r="AS30" i="23"/>
  <c r="AS6" i="23"/>
  <c r="AS35" i="23"/>
  <c r="AS12" i="23"/>
  <c r="AS47" i="23"/>
  <c r="AS31" i="23"/>
  <c r="AM14" i="23"/>
  <c r="AM42" i="23"/>
  <c r="AM19" i="23"/>
  <c r="AM38" i="23"/>
  <c r="AM10" i="23"/>
  <c r="AM25" i="23"/>
  <c r="AM39" i="23"/>
  <c r="AM26" i="23"/>
  <c r="AM8" i="23"/>
  <c r="AM29" i="23"/>
  <c r="AM24" i="23"/>
  <c r="AM30" i="23"/>
  <c r="AM20" i="23"/>
  <c r="AM44" i="23"/>
  <c r="AM21" i="23"/>
  <c r="AM17" i="23"/>
  <c r="AM18" i="23"/>
  <c r="AM9" i="23"/>
  <c r="AM37" i="23"/>
  <c r="AM15" i="23"/>
  <c r="AM43" i="23"/>
  <c r="AM16" i="23"/>
  <c r="AM45" i="23"/>
  <c r="AM11" i="23"/>
  <c r="AM22" i="23"/>
  <c r="AM6" i="23"/>
  <c r="AM34" i="23"/>
  <c r="AM46" i="23"/>
  <c r="AM7" i="23"/>
  <c r="AM28" i="23"/>
  <c r="AM48" i="23"/>
  <c r="AM12" i="23"/>
  <c r="AM33" i="23"/>
  <c r="AM32" i="23"/>
  <c r="AM36" i="23"/>
  <c r="AM35" i="23"/>
  <c r="AM41" i="23"/>
  <c r="AM47" i="23"/>
  <c r="AM31" i="23"/>
  <c r="AM40" i="23"/>
  <c r="AM13" i="23"/>
  <c r="AM27" i="23"/>
  <c r="AF17" i="23"/>
  <c r="AF29" i="23"/>
  <c r="AF18" i="23"/>
  <c r="AF30" i="23"/>
  <c r="AF9" i="23"/>
  <c r="AF25" i="23"/>
  <c r="AF31" i="23"/>
  <c r="AF10" i="23"/>
  <c r="AF16" i="23"/>
  <c r="AF34" i="23"/>
  <c r="AF36" i="23"/>
  <c r="AF41" i="23"/>
  <c r="AF45" i="23"/>
  <c r="AF19" i="23"/>
  <c r="AF28" i="23"/>
  <c r="AF33" i="23"/>
  <c r="AF22" i="23"/>
  <c r="AF47" i="23"/>
  <c r="AF48" i="23"/>
  <c r="AF6" i="23"/>
  <c r="AF32" i="23"/>
  <c r="AF37" i="23"/>
  <c r="AF13" i="23"/>
  <c r="AF14" i="23"/>
  <c r="AF43" i="23"/>
  <c r="AF38" i="23"/>
  <c r="AF44" i="23"/>
  <c r="AF15" i="23"/>
  <c r="AF39" i="23"/>
  <c r="AF46" i="23"/>
  <c r="AF11" i="23"/>
  <c r="AS42" i="31"/>
  <c r="AS43" i="31"/>
  <c r="AS44" i="31"/>
  <c r="AS25" i="31"/>
  <c r="AS14" i="31"/>
  <c r="AS29" i="31"/>
  <c r="AS15" i="31"/>
  <c r="AS31" i="31"/>
  <c r="AS39" i="31"/>
  <c r="AS47" i="31"/>
  <c r="AS22" i="31"/>
  <c r="AS18" i="31"/>
  <c r="AS37" i="31"/>
  <c r="AS38" i="31"/>
  <c r="AS20" i="31"/>
  <c r="AS21" i="31"/>
  <c r="AS49" i="31"/>
  <c r="AS6" i="31"/>
  <c r="AS35" i="31"/>
  <c r="AS34" i="31"/>
  <c r="AS33" i="31"/>
  <c r="AS32" i="31"/>
  <c r="AS7" i="31"/>
  <c r="AS19" i="31"/>
  <c r="AS28" i="31"/>
  <c r="AS12" i="31"/>
  <c r="AS41" i="31"/>
  <c r="AS36" i="31"/>
  <c r="AS48" i="31"/>
  <c r="AS40" i="31"/>
  <c r="AS8" i="31"/>
  <c r="AS9" i="31"/>
  <c r="AS10" i="31"/>
  <c r="AS45" i="31"/>
  <c r="AS16" i="31"/>
  <c r="AS46" i="31"/>
  <c r="AS11" i="31"/>
  <c r="AS17" i="31"/>
  <c r="AS24" i="31"/>
  <c r="AS30" i="31"/>
  <c r="AS26" i="31"/>
  <c r="AS13" i="31"/>
  <c r="AS27" i="31"/>
  <c r="AM24" i="31"/>
  <c r="AM45" i="31"/>
  <c r="AM39" i="31"/>
  <c r="AM37" i="31"/>
  <c r="AM44" i="31"/>
  <c r="AM31" i="31"/>
  <c r="AM26" i="31"/>
  <c r="AM33" i="31"/>
  <c r="AM16" i="31"/>
  <c r="AM13" i="31"/>
  <c r="AM15" i="31"/>
  <c r="AM20" i="31"/>
  <c r="AM21" i="31"/>
  <c r="AM40" i="31"/>
  <c r="AM29" i="31"/>
  <c r="AM25" i="31"/>
  <c r="AM30" i="31"/>
  <c r="AM19" i="31"/>
  <c r="AM34" i="31"/>
  <c r="AM36" i="31"/>
  <c r="AM11" i="31"/>
  <c r="AM12" i="31"/>
  <c r="AM28" i="31"/>
  <c r="AM43" i="31"/>
  <c r="AM42" i="31"/>
  <c r="AM35" i="31"/>
  <c r="AM10" i="31"/>
  <c r="AM32" i="31"/>
  <c r="AM22" i="31"/>
  <c r="AM47" i="31"/>
  <c r="AM17" i="31"/>
  <c r="AM27" i="31"/>
  <c r="AM46" i="31"/>
  <c r="AM8" i="31"/>
  <c r="AM48" i="31"/>
  <c r="AM9" i="31"/>
  <c r="AM49" i="31"/>
  <c r="AM41" i="31"/>
  <c r="AM6" i="31"/>
  <c r="AM14" i="31"/>
  <c r="AM38" i="31"/>
  <c r="AM7" i="31"/>
  <c r="AF42" i="31"/>
  <c r="AF37" i="31"/>
  <c r="AF24" i="31"/>
  <c r="AF18" i="31"/>
  <c r="AF31" i="31"/>
  <c r="AF23" i="31"/>
  <c r="AF8" i="31"/>
  <c r="AF25" i="31"/>
  <c r="AF13" i="31"/>
  <c r="AF29" i="31"/>
  <c r="AF30" i="31"/>
  <c r="AF20" i="31"/>
  <c r="AF10" i="31"/>
  <c r="AF32" i="31"/>
  <c r="AF40" i="31"/>
  <c r="AF26" i="31"/>
  <c r="AF11" i="31"/>
  <c r="AF36" i="31"/>
  <c r="AF46" i="31"/>
  <c r="AF19" i="31"/>
  <c r="AF34" i="31"/>
  <c r="AF12" i="31"/>
  <c r="AF33" i="31"/>
  <c r="AF48" i="31"/>
  <c r="AF47" i="31"/>
  <c r="AF45" i="31"/>
  <c r="AF38" i="31"/>
  <c r="AF7" i="31"/>
  <c r="AF49" i="31"/>
  <c r="AF6" i="31"/>
  <c r="AF28" i="31"/>
  <c r="AF41" i="31"/>
  <c r="AF35" i="31"/>
  <c r="AF44" i="31"/>
  <c r="AF22" i="31"/>
  <c r="AF43" i="31"/>
  <c r="AF14" i="31"/>
  <c r="AF9" i="31"/>
  <c r="AF15" i="31"/>
  <c r="AF39" i="31"/>
  <c r="AF16" i="31"/>
  <c r="AF21" i="31"/>
  <c r="AF27" i="31"/>
  <c r="AD51" i="31"/>
  <c r="HM20" i="35"/>
  <c r="HM16" i="35"/>
  <c r="HM37" i="35"/>
  <c r="HM9" i="35"/>
  <c r="HM33" i="35"/>
  <c r="HM13" i="35"/>
  <c r="HM26" i="35"/>
  <c r="HM47" i="35"/>
  <c r="HM30" i="35"/>
  <c r="HM6" i="35"/>
  <c r="HM18" i="35"/>
  <c r="HM39" i="35"/>
  <c r="HM44" i="35"/>
  <c r="HM23" i="35"/>
  <c r="HM27" i="35"/>
  <c r="HM48" i="35"/>
  <c r="HM32" i="35"/>
  <c r="HM41" i="35"/>
  <c r="HM25" i="35"/>
  <c r="HM46" i="35"/>
  <c r="HM21" i="35"/>
  <c r="HM29" i="35"/>
  <c r="HM17" i="35"/>
  <c r="HM42" i="35"/>
  <c r="HM38" i="35"/>
  <c r="HM10" i="35"/>
  <c r="HM22" i="35"/>
  <c r="HM34" i="35"/>
  <c r="HM14" i="35"/>
  <c r="HM7" i="35"/>
  <c r="HM11" i="35"/>
  <c r="HM31" i="35"/>
  <c r="HM35" i="35"/>
  <c r="HM15" i="35"/>
  <c r="HM19" i="35"/>
  <c r="HM40" i="35"/>
  <c r="HM45" i="35"/>
  <c r="HM24" i="35"/>
  <c r="HM28" i="35"/>
  <c r="HM36" i="35"/>
  <c r="HM49" i="35"/>
  <c r="HG14" i="35"/>
  <c r="HG23" i="35"/>
  <c r="HF51" i="35"/>
  <c r="HF54" i="35" s="1"/>
  <c r="HG22" i="35"/>
  <c r="HG27" i="35"/>
  <c r="HG7" i="35"/>
  <c r="GZ19" i="35"/>
  <c r="GZ20" i="35"/>
  <c r="GZ16" i="35"/>
  <c r="GZ29" i="35"/>
  <c r="GZ21" i="35"/>
  <c r="GZ9" i="35"/>
  <c r="GZ13" i="35"/>
  <c r="GZ17" i="35"/>
  <c r="GZ11" i="35"/>
  <c r="GZ37" i="35"/>
  <c r="GZ26" i="35"/>
  <c r="GZ39" i="35"/>
  <c r="GZ44" i="35"/>
  <c r="GZ24" i="35"/>
  <c r="GZ41" i="35"/>
  <c r="GZ12" i="35"/>
  <c r="GZ33" i="35"/>
  <c r="GZ47" i="35"/>
  <c r="GZ30" i="35"/>
  <c r="GZ14" i="35"/>
  <c r="GZ18" i="35"/>
  <c r="GZ31" i="35"/>
  <c r="GZ36" i="35"/>
  <c r="GZ32" i="35"/>
  <c r="GZ46" i="35"/>
  <c r="GZ8" i="35"/>
  <c r="GZ42" i="35"/>
  <c r="GZ22" i="35"/>
  <c r="GZ48" i="35"/>
  <c r="GZ6" i="35"/>
  <c r="GZ23" i="35"/>
  <c r="GZ27" i="35"/>
  <c r="GZ35" i="35"/>
  <c r="GZ7" i="35"/>
  <c r="GZ28" i="35"/>
  <c r="GZ25" i="35"/>
  <c r="GZ38" i="35"/>
  <c r="GZ34" i="35"/>
  <c r="GZ10" i="35"/>
  <c r="GZ40" i="35"/>
  <c r="GZ45" i="35"/>
  <c r="GZ49" i="35"/>
  <c r="AF16" i="38" l="1"/>
  <c r="AF17" i="38"/>
  <c r="AF24" i="38"/>
  <c r="AS16" i="38"/>
  <c r="AM17" i="38"/>
  <c r="AS17" i="38"/>
  <c r="AS9" i="38"/>
  <c r="AS7" i="38"/>
  <c r="AS19" i="38"/>
  <c r="AS10" i="38"/>
  <c r="AS12" i="38"/>
  <c r="AS23" i="38"/>
  <c r="AS21" i="38"/>
  <c r="AS13" i="38"/>
  <c r="AS18" i="38"/>
  <c r="AS20" i="38"/>
  <c r="AS24" i="38"/>
  <c r="AS25" i="38"/>
  <c r="AS22" i="38"/>
  <c r="AS11" i="38"/>
  <c r="AS6" i="38"/>
  <c r="AS8" i="38"/>
  <c r="AS14" i="38"/>
  <c r="AS15" i="38"/>
  <c r="AM22" i="38"/>
  <c r="AM23" i="38"/>
  <c r="AM10" i="38"/>
  <c r="AM21" i="38"/>
  <c r="AM7" i="38"/>
  <c r="AM8" i="38"/>
  <c r="AM6" i="38"/>
  <c r="AM9" i="38"/>
  <c r="AM12" i="38"/>
  <c r="AM24" i="38"/>
  <c r="AM20" i="38"/>
  <c r="AM25" i="38"/>
  <c r="AM13" i="38"/>
  <c r="AM16" i="38"/>
  <c r="AM19" i="38"/>
  <c r="AM11" i="38"/>
  <c r="AM18" i="38"/>
  <c r="AM15" i="38"/>
  <c r="AM14" i="38"/>
  <c r="AL27" i="38"/>
  <c r="AL30" i="38" s="1"/>
  <c r="AK30" i="38"/>
  <c r="AF22" i="38"/>
  <c r="AF7" i="38"/>
  <c r="AF20" i="38"/>
  <c r="AF13" i="38"/>
  <c r="AF9" i="38"/>
  <c r="AF10" i="38"/>
  <c r="AF6" i="38"/>
  <c r="AF8" i="38"/>
  <c r="AF18" i="38"/>
  <c r="AF12" i="38"/>
  <c r="AF15" i="38"/>
  <c r="AF14" i="38"/>
  <c r="AF19" i="38"/>
  <c r="AF11" i="38"/>
  <c r="AF23" i="38"/>
  <c r="AF25" i="38"/>
  <c r="AF21" i="38"/>
  <c r="AE50" i="27"/>
  <c r="AE53" i="27" s="1"/>
  <c r="AD53" i="27"/>
  <c r="AR50" i="25"/>
  <c r="AR53" i="25" s="1"/>
  <c r="AP53" i="25"/>
  <c r="AL50" i="25"/>
  <c r="AL53" i="25" s="1"/>
  <c r="AK53" i="25"/>
  <c r="AE50" i="23"/>
  <c r="AE53" i="23" s="1"/>
  <c r="AC53" i="23"/>
  <c r="AE51" i="31"/>
  <c r="AE54" i="31" s="1"/>
  <c r="AD54" i="31"/>
  <c r="AL51" i="24"/>
  <c r="AL54" i="24" s="1"/>
  <c r="AK54" i="24"/>
  <c r="AE51" i="24"/>
  <c r="AE54" i="24" s="1"/>
  <c r="AD54" i="24"/>
  <c r="AR27" i="38"/>
  <c r="AR30" i="38" s="1"/>
  <c r="AE27" i="38"/>
  <c r="AE30" i="38" s="1"/>
  <c r="AF22" i="15"/>
  <c r="AF11" i="15"/>
  <c r="AF37" i="15"/>
  <c r="AF35" i="15"/>
  <c r="AF15" i="15"/>
  <c r="AF8" i="15"/>
  <c r="AF38" i="15"/>
  <c r="AF43" i="15"/>
  <c r="AF20" i="15"/>
  <c r="AF10" i="15"/>
  <c r="AF32" i="15"/>
  <c r="AF6" i="15"/>
  <c r="AF36" i="15"/>
  <c r="AF13" i="15"/>
  <c r="AF34" i="15"/>
  <c r="AF19" i="15"/>
  <c r="AF12" i="15"/>
  <c r="AF45" i="15"/>
  <c r="AF47" i="15"/>
  <c r="AF48" i="15"/>
  <c r="AF46" i="15"/>
  <c r="AF28" i="15"/>
  <c r="AF30" i="15"/>
  <c r="AF18" i="15"/>
  <c r="AF27" i="15"/>
  <c r="AF21" i="15"/>
  <c r="AF23" i="15"/>
  <c r="AF33" i="15"/>
  <c r="AF40" i="15"/>
  <c r="AF7" i="15"/>
  <c r="AM48" i="27"/>
  <c r="AM36" i="27"/>
  <c r="AM18" i="27"/>
  <c r="AM34" i="27"/>
  <c r="AM19" i="27"/>
  <c r="AM11" i="27"/>
  <c r="AM26" i="27"/>
  <c r="AM31" i="27"/>
  <c r="AM17" i="27"/>
  <c r="AM38" i="27"/>
  <c r="AM10" i="27"/>
  <c r="AM41" i="27"/>
  <c r="AM45" i="27"/>
  <c r="AM47" i="27"/>
  <c r="AM27" i="27"/>
  <c r="AM24" i="27"/>
  <c r="AM23" i="27"/>
  <c r="AM22" i="27"/>
  <c r="AM43" i="27"/>
  <c r="AM33" i="27"/>
  <c r="AM13" i="27"/>
  <c r="AM30" i="27"/>
  <c r="AM35" i="27"/>
  <c r="AM8" i="27"/>
  <c r="AM16" i="27"/>
  <c r="AM32" i="27"/>
  <c r="AM15" i="27"/>
  <c r="AM28" i="27"/>
  <c r="AM6" i="27"/>
  <c r="AM46" i="27"/>
  <c r="AM39" i="27"/>
  <c r="AM20" i="27"/>
  <c r="AS39" i="25"/>
  <c r="AS25" i="25"/>
  <c r="AS48" i="25"/>
  <c r="AS18" i="25"/>
  <c r="AS45" i="25"/>
  <c r="AS36" i="25"/>
  <c r="AS14" i="25"/>
  <c r="AS37" i="25"/>
  <c r="AS44" i="25"/>
  <c r="AS6" i="25"/>
  <c r="AS41" i="25"/>
  <c r="AS40" i="25"/>
  <c r="AS34" i="25"/>
  <c r="AS16" i="25"/>
  <c r="AS19" i="25"/>
  <c r="AS30" i="25"/>
  <c r="AS32" i="25"/>
  <c r="AS15" i="25"/>
  <c r="AS22" i="25"/>
  <c r="AS20" i="25"/>
  <c r="AS31" i="25"/>
  <c r="AS10" i="25"/>
  <c r="AS12" i="25"/>
  <c r="AS11" i="25"/>
  <c r="AS26" i="25"/>
  <c r="AS8" i="25"/>
  <c r="AF6" i="25"/>
  <c r="AF41" i="25"/>
  <c r="AF9" i="25"/>
  <c r="AF25" i="25"/>
  <c r="AF37" i="25"/>
  <c r="AF48" i="25"/>
  <c r="AF16" i="25"/>
  <c r="AF44" i="25"/>
  <c r="AF30" i="25"/>
  <c r="AF12" i="25"/>
  <c r="AF36" i="25"/>
  <c r="AF34" i="25"/>
  <c r="AF8" i="25"/>
  <c r="AF11" i="25"/>
  <c r="AF26" i="25"/>
  <c r="AF32" i="25"/>
  <c r="AF40" i="25"/>
  <c r="AF22" i="25"/>
  <c r="AF28" i="25"/>
  <c r="AF39" i="25"/>
  <c r="AF31" i="25"/>
  <c r="AF46" i="25"/>
  <c r="AF20" i="25"/>
  <c r="AF19" i="25"/>
  <c r="AF13" i="25"/>
  <c r="AF24" i="25"/>
  <c r="AF7" i="25"/>
  <c r="AF15" i="25"/>
  <c r="AF27" i="25"/>
  <c r="AF42" i="25"/>
  <c r="AF23" i="25"/>
  <c r="AS22" i="24"/>
  <c r="AS28" i="24"/>
  <c r="AS42" i="24"/>
  <c r="AS48" i="24"/>
  <c r="AS11" i="23"/>
  <c r="AS41" i="23"/>
  <c r="AS40" i="23"/>
  <c r="AS27" i="23"/>
  <c r="AS28" i="23"/>
  <c r="AS10" i="23"/>
  <c r="AS13" i="23"/>
  <c r="AS14" i="23"/>
  <c r="AS15" i="23"/>
  <c r="AS43" i="23"/>
  <c r="AS44" i="23"/>
  <c r="AS26" i="23"/>
  <c r="AS17" i="23"/>
  <c r="AS34" i="23"/>
  <c r="AS22" i="23"/>
  <c r="AS23" i="23"/>
  <c r="AS29" i="23"/>
  <c r="AS45" i="23"/>
  <c r="AF40" i="23"/>
  <c r="AF7" i="23"/>
  <c r="AF8" i="23"/>
  <c r="AF27" i="23"/>
  <c r="AF12" i="23"/>
  <c r="AF26" i="23"/>
  <c r="AF35" i="23"/>
  <c r="AF23" i="23"/>
  <c r="AF24" i="23"/>
  <c r="AF21" i="23"/>
  <c r="AF42" i="23"/>
  <c r="HG49" i="35"/>
  <c r="HG36" i="35"/>
  <c r="HG28" i="35"/>
  <c r="HG15" i="35"/>
  <c r="HG18" i="35"/>
  <c r="HG10" i="35"/>
  <c r="HG32" i="35"/>
  <c r="HG35" i="35"/>
  <c r="HG25" i="35"/>
  <c r="HG26" i="35"/>
  <c r="HG47" i="35"/>
  <c r="HG21" i="35"/>
  <c r="HG37" i="35"/>
  <c r="HG12" i="35"/>
  <c r="HG19" i="35"/>
  <c r="HG24" i="35"/>
  <c r="HG44" i="35"/>
  <c r="HG30" i="35"/>
  <c r="HG9" i="35"/>
  <c r="HG33" i="35"/>
  <c r="HG45" i="35"/>
  <c r="HG31" i="35"/>
  <c r="HG41" i="35"/>
  <c r="HG34" i="35"/>
  <c r="HG13" i="35"/>
  <c r="HG42" i="35"/>
  <c r="HG29" i="35"/>
  <c r="HG46" i="35"/>
  <c r="HG16" i="35"/>
  <c r="HG20" i="35"/>
  <c r="HG48" i="35"/>
  <c r="HG39" i="35"/>
  <c r="HG6" i="35"/>
  <c r="HG38" i="35"/>
  <c r="HG17" i="35"/>
  <c r="HG40" i="35"/>
  <c r="HG11" i="35"/>
  <c r="HG8" i="35"/>
  <c r="H16" i="38" l="1"/>
  <c r="G16" i="38"/>
  <c r="I16" i="38" s="1"/>
  <c r="F16" i="38"/>
  <c r="E16" i="38"/>
  <c r="U16" i="38"/>
  <c r="T16" i="38"/>
  <c r="V16" i="38" s="1"/>
  <c r="S16" i="38"/>
  <c r="R16" i="38"/>
  <c r="M16" i="38"/>
  <c r="N16" i="38"/>
  <c r="O16" i="38"/>
  <c r="L16" i="38"/>
  <c r="F16" i="32"/>
  <c r="E17" i="32"/>
  <c r="F17" i="32"/>
  <c r="E16" i="32"/>
  <c r="G8" i="32"/>
  <c r="E8" i="32"/>
  <c r="F8" i="32"/>
  <c r="H8" i="32"/>
  <c r="E14" i="32"/>
  <c r="E54" i="36" s="1"/>
  <c r="F14" i="32"/>
  <c r="G14" i="32"/>
  <c r="H14" i="32"/>
  <c r="H16" i="32"/>
  <c r="G17" i="32"/>
  <c r="H17" i="32"/>
  <c r="V25" i="38"/>
  <c r="U25" i="38"/>
  <c r="T25" i="38"/>
  <c r="U24" i="38"/>
  <c r="T24" i="38"/>
  <c r="S24" i="38"/>
  <c r="R24" i="38"/>
  <c r="P25" i="38"/>
  <c r="O25" i="38"/>
  <c r="N25" i="38"/>
  <c r="O24" i="38"/>
  <c r="N24" i="38"/>
  <c r="M24" i="38"/>
  <c r="L24" i="38"/>
  <c r="U17" i="38"/>
  <c r="T17" i="38"/>
  <c r="O17" i="38"/>
  <c r="N17" i="38"/>
  <c r="V11" i="38"/>
  <c r="U11" i="38"/>
  <c r="T11" i="38"/>
  <c r="S11" i="38"/>
  <c r="R11" i="38"/>
  <c r="P11" i="38"/>
  <c r="O11" i="38"/>
  <c r="N11" i="38"/>
  <c r="M11" i="38"/>
  <c r="L11" i="38"/>
  <c r="V8" i="38"/>
  <c r="U8" i="38"/>
  <c r="T8" i="38"/>
  <c r="S8" i="38"/>
  <c r="R8" i="38"/>
  <c r="P8" i="38"/>
  <c r="O8" i="38"/>
  <c r="N8" i="38"/>
  <c r="M8" i="38"/>
  <c r="L8" i="38"/>
  <c r="H25" i="38"/>
  <c r="I25" i="38"/>
  <c r="G25" i="38"/>
  <c r="F24" i="38"/>
  <c r="G24" i="38"/>
  <c r="H24" i="38"/>
  <c r="E24" i="38"/>
  <c r="H17" i="38"/>
  <c r="G17" i="38"/>
  <c r="I11" i="38"/>
  <c r="H11" i="38"/>
  <c r="G11" i="38"/>
  <c r="F11" i="38"/>
  <c r="E11" i="38"/>
  <c r="F8" i="38"/>
  <c r="G8" i="38"/>
  <c r="H8" i="38"/>
  <c r="I8" i="38"/>
  <c r="E8" i="38"/>
  <c r="U51" i="36"/>
  <c r="T51" i="36"/>
  <c r="S51" i="36"/>
  <c r="R51" i="36"/>
  <c r="O51" i="36"/>
  <c r="N51" i="36"/>
  <c r="M51" i="36"/>
  <c r="L51" i="36"/>
  <c r="H51" i="36"/>
  <c r="G51" i="36"/>
  <c r="F51" i="36"/>
  <c r="F54" i="36" l="1"/>
  <c r="G54" i="36"/>
  <c r="H54" i="36"/>
  <c r="P16" i="38"/>
  <c r="P24" i="38"/>
  <c r="I24" i="38"/>
  <c r="I17" i="38"/>
  <c r="V24" i="38"/>
  <c r="P17" i="38"/>
  <c r="V17" i="38"/>
  <c r="I51" i="36"/>
  <c r="V51" i="36"/>
  <c r="P51" i="36"/>
  <c r="I14" i="32"/>
  <c r="I8" i="32"/>
  <c r="G16" i="32"/>
  <c r="J24" i="38" l="1"/>
  <c r="W24" i="38"/>
  <c r="I54" i="36"/>
  <c r="J22" i="38"/>
  <c r="J11" i="38"/>
  <c r="J25" i="38"/>
  <c r="J16" i="38"/>
  <c r="J17" i="38"/>
  <c r="J7" i="38"/>
  <c r="J9" i="38"/>
  <c r="J21" i="38"/>
  <c r="J13" i="38"/>
  <c r="J15" i="38"/>
  <c r="J18" i="38"/>
  <c r="J20" i="38"/>
  <c r="J23" i="38"/>
  <c r="J19" i="38"/>
  <c r="J6" i="38"/>
  <c r="J14" i="38"/>
  <c r="J12" i="38"/>
  <c r="J10" i="38"/>
  <c r="J8" i="38"/>
  <c r="Q14" i="38"/>
  <c r="Q24" i="38"/>
  <c r="Q11" i="38"/>
  <c r="Q13" i="38"/>
  <c r="Q12" i="38"/>
  <c r="Q16" i="38"/>
  <c r="Q21" i="38"/>
  <c r="Q10" i="38"/>
  <c r="Q17" i="38"/>
  <c r="Q6" i="38"/>
  <c r="Q23" i="38"/>
  <c r="Q19" i="38"/>
  <c r="Q20" i="38"/>
  <c r="Q22" i="38"/>
  <c r="Q18" i="38"/>
  <c r="Q15" i="38"/>
  <c r="Q8" i="38"/>
  <c r="Q9" i="38"/>
  <c r="Q7" i="38"/>
  <c r="Q25" i="38"/>
  <c r="W15" i="38"/>
  <c r="W23" i="38"/>
  <c r="W9" i="38"/>
  <c r="W13" i="38"/>
  <c r="W10" i="38"/>
  <c r="W17" i="38"/>
  <c r="W21" i="38"/>
  <c r="W19" i="38"/>
  <c r="W14" i="38"/>
  <c r="W7" i="38"/>
  <c r="W20" i="38"/>
  <c r="W6" i="38"/>
  <c r="W25" i="38"/>
  <c r="W11" i="38"/>
  <c r="W12" i="38"/>
  <c r="W18" i="38"/>
  <c r="W22" i="38"/>
  <c r="W16" i="38"/>
  <c r="W8" i="38"/>
  <c r="W40" i="25"/>
  <c r="Q40" i="25"/>
  <c r="J40" i="25"/>
  <c r="W40" i="24"/>
  <c r="Q40" i="24"/>
  <c r="J40" i="24"/>
  <c r="W40" i="21"/>
  <c r="Q40" i="21"/>
  <c r="J40" i="21"/>
  <c r="W40" i="23"/>
  <c r="Q40" i="23"/>
  <c r="J40" i="23"/>
  <c r="W40" i="31"/>
  <c r="Q40" i="31"/>
  <c r="J40" i="31"/>
  <c r="GQ40" i="35"/>
  <c r="GK40" i="35"/>
  <c r="GD40" i="35"/>
  <c r="U8" i="32" l="1"/>
  <c r="T8" i="32"/>
  <c r="S8" i="32"/>
  <c r="R8" i="32"/>
  <c r="O8" i="32"/>
  <c r="N8" i="32"/>
  <c r="M8" i="32"/>
  <c r="L8" i="32"/>
  <c r="V8" i="32" l="1"/>
  <c r="P8" i="32"/>
  <c r="AM40" i="36" l="1"/>
  <c r="AF40" i="36" l="1"/>
  <c r="W49" i="36"/>
  <c r="W48" i="36"/>
  <c r="W47" i="36"/>
  <c r="W46" i="36"/>
  <c r="W45" i="36"/>
  <c r="W44" i="36"/>
  <c r="W42" i="36"/>
  <c r="W41" i="36"/>
  <c r="W39" i="36"/>
  <c r="W38" i="36"/>
  <c r="W37" i="36"/>
  <c r="W36" i="36"/>
  <c r="W35" i="36"/>
  <c r="W34" i="36"/>
  <c r="W33" i="36"/>
  <c r="W32" i="36"/>
  <c r="W31" i="36"/>
  <c r="W30" i="36"/>
  <c r="W29" i="36"/>
  <c r="W28" i="36"/>
  <c r="W27" i="36"/>
  <c r="W26" i="36"/>
  <c r="W25" i="36"/>
  <c r="W24" i="36"/>
  <c r="W23" i="36"/>
  <c r="W22" i="36"/>
  <c r="W21" i="36"/>
  <c r="W20" i="36"/>
  <c r="W19" i="36"/>
  <c r="W18" i="36"/>
  <c r="W17" i="36"/>
  <c r="W16" i="36"/>
  <c r="W15" i="36"/>
  <c r="W14" i="36"/>
  <c r="W13" i="36"/>
  <c r="W12" i="36"/>
  <c r="W11" i="36"/>
  <c r="W10" i="36"/>
  <c r="W9" i="36"/>
  <c r="W8" i="36"/>
  <c r="W7" i="36"/>
  <c r="W6" i="36"/>
  <c r="Q49" i="36"/>
  <c r="Q48" i="36"/>
  <c r="Q47" i="36"/>
  <c r="Q46" i="36"/>
  <c r="Q45" i="36"/>
  <c r="Q44" i="36"/>
  <c r="Q42" i="36"/>
  <c r="Q41" i="36"/>
  <c r="Q39" i="36"/>
  <c r="Q38" i="36"/>
  <c r="Q37" i="36"/>
  <c r="Q36" i="36"/>
  <c r="Q35" i="36"/>
  <c r="Q34" i="36"/>
  <c r="Q33" i="36"/>
  <c r="Q32" i="36"/>
  <c r="Q31" i="36"/>
  <c r="Q30" i="36"/>
  <c r="Q29" i="36"/>
  <c r="Q28" i="36"/>
  <c r="Q27" i="36"/>
  <c r="Q26" i="36"/>
  <c r="Q25" i="36"/>
  <c r="Q24" i="36"/>
  <c r="Q23" i="36"/>
  <c r="Q22" i="36"/>
  <c r="Q21" i="36"/>
  <c r="Q20" i="36"/>
  <c r="Q19" i="36"/>
  <c r="Q18" i="36"/>
  <c r="Q17" i="36"/>
  <c r="Q16" i="36"/>
  <c r="Q15" i="36"/>
  <c r="Q14" i="36"/>
  <c r="Q13" i="36"/>
  <c r="Q12" i="36"/>
  <c r="Q11" i="36"/>
  <c r="Q10" i="36"/>
  <c r="Q9" i="36"/>
  <c r="Q8" i="36"/>
  <c r="Q7" i="36"/>
  <c r="Q6" i="36"/>
  <c r="J49" i="36"/>
  <c r="J48" i="36"/>
  <c r="J47" i="36"/>
  <c r="J46" i="36"/>
  <c r="J45" i="36"/>
  <c r="J44" i="36"/>
  <c r="J42" i="36"/>
  <c r="J41" i="36"/>
  <c r="J39" i="36"/>
  <c r="J38" i="36"/>
  <c r="J37" i="36"/>
  <c r="J36" i="36"/>
  <c r="J35" i="36"/>
  <c r="J34" i="36"/>
  <c r="J33" i="36"/>
  <c r="J32" i="36"/>
  <c r="J31" i="36"/>
  <c r="J30" i="36"/>
  <c r="J29" i="36"/>
  <c r="J28" i="36"/>
  <c r="J27" i="36"/>
  <c r="J26" i="36"/>
  <c r="J25" i="36"/>
  <c r="J24" i="36"/>
  <c r="J23" i="36"/>
  <c r="J22" i="36"/>
  <c r="J21" i="36"/>
  <c r="J20" i="36"/>
  <c r="J19" i="36"/>
  <c r="J18" i="36"/>
  <c r="J17" i="36"/>
  <c r="J16" i="36"/>
  <c r="J15" i="36"/>
  <c r="J14" i="36"/>
  <c r="J13" i="36"/>
  <c r="J12" i="36"/>
  <c r="J11" i="36"/>
  <c r="J10" i="36"/>
  <c r="J9" i="36"/>
  <c r="J8" i="36"/>
  <c r="J7" i="36"/>
  <c r="J6" i="36"/>
  <c r="G33" i="38"/>
  <c r="H33" i="38"/>
  <c r="M17" i="32"/>
  <c r="N14" i="32"/>
  <c r="N54" i="36" s="1"/>
  <c r="L17" i="32"/>
  <c r="N17" i="32"/>
  <c r="O17" i="32"/>
  <c r="R17" i="32"/>
  <c r="S17" i="32"/>
  <c r="T17" i="32"/>
  <c r="U17" i="32"/>
  <c r="J48" i="27"/>
  <c r="J47" i="27"/>
  <c r="J46" i="27"/>
  <c r="J45" i="27"/>
  <c r="J44" i="27"/>
  <c r="J43" i="27"/>
  <c r="J42" i="27"/>
  <c r="J41" i="27"/>
  <c r="J39" i="27"/>
  <c r="J38" i="27"/>
  <c r="J37" i="27"/>
  <c r="J36" i="27"/>
  <c r="J35" i="27"/>
  <c r="J34" i="27"/>
  <c r="J33" i="27"/>
  <c r="J32" i="27"/>
  <c r="J31" i="27"/>
  <c r="J30" i="27"/>
  <c r="J29" i="27"/>
  <c r="J28" i="27"/>
  <c r="J27" i="27"/>
  <c r="J26" i="27"/>
  <c r="J25" i="27"/>
  <c r="J24" i="27"/>
  <c r="J23" i="27"/>
  <c r="J22" i="27"/>
  <c r="J21" i="27"/>
  <c r="J20" i="27"/>
  <c r="J19" i="27"/>
  <c r="J18" i="27"/>
  <c r="J17" i="27"/>
  <c r="J16" i="27"/>
  <c r="J15" i="27"/>
  <c r="J14" i="27"/>
  <c r="J13" i="27"/>
  <c r="J12" i="27"/>
  <c r="J11" i="27"/>
  <c r="J10" i="27"/>
  <c r="J9" i="27"/>
  <c r="J8" i="27"/>
  <c r="J7" i="27"/>
  <c r="J6" i="27"/>
  <c r="O16" i="32"/>
  <c r="U16" i="32"/>
  <c r="U33" i="38"/>
  <c r="O33" i="38"/>
  <c r="N33" i="38"/>
  <c r="H27" i="38"/>
  <c r="H30" i="38" s="1"/>
  <c r="L16" i="32"/>
  <c r="M16" i="32"/>
  <c r="N16" i="32"/>
  <c r="R16" i="32"/>
  <c r="S16" i="32"/>
  <c r="T16" i="32"/>
  <c r="L14" i="32"/>
  <c r="L54" i="36" s="1"/>
  <c r="M14" i="32"/>
  <c r="M54" i="36" s="1"/>
  <c r="U14" i="32"/>
  <c r="U54" i="36" s="1"/>
  <c r="T14" i="32"/>
  <c r="T54" i="36" s="1"/>
  <c r="S14" i="32"/>
  <c r="S54" i="36" s="1"/>
  <c r="R14" i="32"/>
  <c r="R54" i="36" s="1"/>
  <c r="O14" i="32"/>
  <c r="O54" i="36" s="1"/>
  <c r="G27" i="38"/>
  <c r="G30" i="38" s="1"/>
  <c r="F27" i="38"/>
  <c r="F30" i="38" s="1"/>
  <c r="E27" i="38"/>
  <c r="E30" i="38" s="1"/>
  <c r="U27" i="38"/>
  <c r="U30" i="38" s="1"/>
  <c r="T27" i="38"/>
  <c r="T31" i="38" s="1"/>
  <c r="S27" i="38"/>
  <c r="S31" i="38" s="1"/>
  <c r="R27" i="38"/>
  <c r="R30" i="38" s="1"/>
  <c r="O27" i="38"/>
  <c r="O31" i="38" s="1"/>
  <c r="N27" i="38"/>
  <c r="M27" i="38"/>
  <c r="M30" i="38" s="1"/>
  <c r="L27" i="38"/>
  <c r="L30" i="38" s="1"/>
  <c r="H53" i="27"/>
  <c r="F53" i="27"/>
  <c r="E53" i="27"/>
  <c r="U53" i="27"/>
  <c r="T53" i="27"/>
  <c r="S53" i="27"/>
  <c r="R53" i="27"/>
  <c r="O53" i="27"/>
  <c r="N53" i="27"/>
  <c r="M53" i="27"/>
  <c r="L53" i="27"/>
  <c r="W48" i="27"/>
  <c r="Q48" i="27"/>
  <c r="W47" i="27"/>
  <c r="Q47" i="27"/>
  <c r="W46" i="27"/>
  <c r="Q46" i="27"/>
  <c r="W45" i="27"/>
  <c r="Q45" i="27"/>
  <c r="W44" i="27"/>
  <c r="Q44" i="27"/>
  <c r="W43" i="27"/>
  <c r="Q43" i="27"/>
  <c r="W42" i="27"/>
  <c r="Q42" i="27"/>
  <c r="W41" i="27"/>
  <c r="Q41" i="27"/>
  <c r="W39" i="27"/>
  <c r="Q39" i="27"/>
  <c r="W38" i="27"/>
  <c r="Q38" i="27"/>
  <c r="W37" i="27"/>
  <c r="Q37" i="27"/>
  <c r="W36" i="27"/>
  <c r="Q36" i="27"/>
  <c r="W35" i="27"/>
  <c r="Q35" i="27"/>
  <c r="W34" i="27"/>
  <c r="Q34" i="27"/>
  <c r="W33" i="27"/>
  <c r="Q33" i="27"/>
  <c r="W32" i="27"/>
  <c r="Q32" i="27"/>
  <c r="W31" i="27"/>
  <c r="Q31" i="27"/>
  <c r="W30" i="27"/>
  <c r="Q30" i="27"/>
  <c r="W29" i="27"/>
  <c r="Q29" i="27"/>
  <c r="W28" i="27"/>
  <c r="Q28" i="27"/>
  <c r="W27" i="27"/>
  <c r="Q27" i="27"/>
  <c r="W26" i="27"/>
  <c r="Q26" i="27"/>
  <c r="W25" i="27"/>
  <c r="Q25" i="27"/>
  <c r="W24" i="27"/>
  <c r="Q24" i="27"/>
  <c r="W23" i="27"/>
  <c r="Q23" i="27"/>
  <c r="W22" i="27"/>
  <c r="Q22" i="27"/>
  <c r="W21" i="27"/>
  <c r="Q21" i="27"/>
  <c r="W20" i="27"/>
  <c r="Q20" i="27"/>
  <c r="W19" i="27"/>
  <c r="Q19" i="27"/>
  <c r="W18" i="27"/>
  <c r="Q18" i="27"/>
  <c r="W17" i="27"/>
  <c r="Q17" i="27"/>
  <c r="W16" i="27"/>
  <c r="Q16" i="27"/>
  <c r="W15" i="27"/>
  <c r="Q15" i="27"/>
  <c r="W14" i="27"/>
  <c r="Q14" i="27"/>
  <c r="W13" i="27"/>
  <c r="Q13" i="27"/>
  <c r="W12" i="27"/>
  <c r="Q12" i="27"/>
  <c r="W11" i="27"/>
  <c r="Q11" i="27"/>
  <c r="W10" i="27"/>
  <c r="Q10" i="27"/>
  <c r="W9" i="27"/>
  <c r="Q9" i="27"/>
  <c r="W8" i="27"/>
  <c r="Q8" i="27"/>
  <c r="W7" i="27"/>
  <c r="Q7" i="27"/>
  <c r="W6" i="27"/>
  <c r="Q6" i="27"/>
  <c r="J48" i="25"/>
  <c r="J47" i="25"/>
  <c r="J46" i="25"/>
  <c r="J45" i="25"/>
  <c r="J44" i="25"/>
  <c r="J43" i="25"/>
  <c r="J42" i="25"/>
  <c r="J41" i="25"/>
  <c r="J39" i="25"/>
  <c r="J38" i="25"/>
  <c r="J37" i="25"/>
  <c r="J36" i="25"/>
  <c r="J35" i="25"/>
  <c r="J34" i="25"/>
  <c r="J33" i="25"/>
  <c r="J32" i="25"/>
  <c r="J31" i="25"/>
  <c r="J30" i="25"/>
  <c r="J29" i="25"/>
  <c r="J28" i="25"/>
  <c r="J27" i="25"/>
  <c r="J26" i="25"/>
  <c r="J25" i="25"/>
  <c r="J24" i="25"/>
  <c r="J23" i="25"/>
  <c r="J22" i="25"/>
  <c r="J21" i="25"/>
  <c r="J20" i="25"/>
  <c r="J19" i="25"/>
  <c r="J18" i="25"/>
  <c r="J17" i="25"/>
  <c r="J16" i="25"/>
  <c r="J15" i="25"/>
  <c r="J14" i="25"/>
  <c r="J13" i="25"/>
  <c r="J12" i="25"/>
  <c r="J11" i="25"/>
  <c r="J10" i="25"/>
  <c r="J9" i="25"/>
  <c r="J8" i="25"/>
  <c r="J7" i="25"/>
  <c r="J6" i="25"/>
  <c r="E53" i="25"/>
  <c r="H53" i="25"/>
  <c r="I53" i="25"/>
  <c r="F53" i="25"/>
  <c r="U53" i="25"/>
  <c r="T53" i="25"/>
  <c r="S53" i="25"/>
  <c r="R53" i="25"/>
  <c r="O53" i="25"/>
  <c r="N53" i="25"/>
  <c r="M53" i="25"/>
  <c r="L53" i="25"/>
  <c r="W48" i="25"/>
  <c r="Q48" i="25"/>
  <c r="W47" i="25"/>
  <c r="Q47" i="25"/>
  <c r="W46" i="25"/>
  <c r="Q46" i="25"/>
  <c r="W45" i="25"/>
  <c r="Q45" i="25"/>
  <c r="W44" i="25"/>
  <c r="Q44" i="25"/>
  <c r="W43" i="25"/>
  <c r="Q43" i="25"/>
  <c r="W42" i="25"/>
  <c r="Q42" i="25"/>
  <c r="W41" i="25"/>
  <c r="Q41" i="25"/>
  <c r="W39" i="25"/>
  <c r="Q39" i="25"/>
  <c r="W38" i="25"/>
  <c r="Q38" i="25"/>
  <c r="W37" i="25"/>
  <c r="Q37" i="25"/>
  <c r="W36" i="25"/>
  <c r="Q36" i="25"/>
  <c r="W35" i="25"/>
  <c r="Q35" i="25"/>
  <c r="W34" i="25"/>
  <c r="Q34" i="25"/>
  <c r="W33" i="25"/>
  <c r="Q33" i="25"/>
  <c r="W32" i="25"/>
  <c r="Q32" i="25"/>
  <c r="W31" i="25"/>
  <c r="Q31" i="25"/>
  <c r="W30" i="25"/>
  <c r="Q30" i="25"/>
  <c r="W29" i="25"/>
  <c r="Q29" i="25"/>
  <c r="W28" i="25"/>
  <c r="Q28" i="25"/>
  <c r="W27" i="25"/>
  <c r="Q27" i="25"/>
  <c r="W26" i="25"/>
  <c r="Q26" i="25"/>
  <c r="W25" i="25"/>
  <c r="Q25" i="25"/>
  <c r="W24" i="25"/>
  <c r="Q24" i="25"/>
  <c r="W23" i="25"/>
  <c r="Q23" i="25"/>
  <c r="W22" i="25"/>
  <c r="Q22" i="25"/>
  <c r="W21" i="25"/>
  <c r="Q21" i="25"/>
  <c r="W20" i="25"/>
  <c r="Q20" i="25"/>
  <c r="W19" i="25"/>
  <c r="Q19" i="25"/>
  <c r="W18" i="25"/>
  <c r="Q18" i="25"/>
  <c r="W17" i="25"/>
  <c r="Q17" i="25"/>
  <c r="W16" i="25"/>
  <c r="Q16" i="25"/>
  <c r="W15" i="25"/>
  <c r="Q15" i="25"/>
  <c r="W14" i="25"/>
  <c r="Q14" i="25"/>
  <c r="W13" i="25"/>
  <c r="Q13" i="25"/>
  <c r="W12" i="25"/>
  <c r="Q12" i="25"/>
  <c r="W11" i="25"/>
  <c r="Q11" i="25"/>
  <c r="W10" i="25"/>
  <c r="Q10" i="25"/>
  <c r="W9" i="25"/>
  <c r="Q9" i="25"/>
  <c r="W8" i="25"/>
  <c r="Q8" i="25"/>
  <c r="W7" i="25"/>
  <c r="Q7" i="25"/>
  <c r="W6" i="25"/>
  <c r="Q6" i="25"/>
  <c r="J49" i="24"/>
  <c r="J48" i="24"/>
  <c r="J47" i="24"/>
  <c r="J46" i="24"/>
  <c r="J45" i="24"/>
  <c r="J44" i="24"/>
  <c r="J42" i="24"/>
  <c r="J41" i="24"/>
  <c r="J39" i="24"/>
  <c r="J38" i="24"/>
  <c r="J37" i="24"/>
  <c r="J36" i="24"/>
  <c r="J35" i="24"/>
  <c r="J34" i="24"/>
  <c r="J33" i="24"/>
  <c r="J32" i="24"/>
  <c r="J31" i="24"/>
  <c r="J30" i="24"/>
  <c r="J29" i="24"/>
  <c r="J28" i="24"/>
  <c r="J27" i="24"/>
  <c r="J26" i="24"/>
  <c r="J25" i="24"/>
  <c r="J24" i="24"/>
  <c r="J23" i="24"/>
  <c r="J22" i="24"/>
  <c r="J21" i="24"/>
  <c r="J20" i="24"/>
  <c r="J19" i="24"/>
  <c r="J18" i="24"/>
  <c r="J17" i="24"/>
  <c r="J16" i="24"/>
  <c r="J15" i="24"/>
  <c r="J14" i="24"/>
  <c r="J13" i="24"/>
  <c r="J12" i="24"/>
  <c r="J11" i="24"/>
  <c r="J10" i="24"/>
  <c r="J9" i="24"/>
  <c r="J8" i="24"/>
  <c r="J7" i="24"/>
  <c r="J6" i="24"/>
  <c r="H54" i="24"/>
  <c r="F54" i="24"/>
  <c r="E54" i="24"/>
  <c r="T54" i="24"/>
  <c r="S54" i="24"/>
  <c r="R54" i="24"/>
  <c r="O54" i="24"/>
  <c r="N54" i="24"/>
  <c r="M54" i="24"/>
  <c r="L54" i="24"/>
  <c r="W49" i="24"/>
  <c r="Q49" i="24"/>
  <c r="W48" i="24"/>
  <c r="Q48" i="24"/>
  <c r="W47" i="24"/>
  <c r="Q47" i="24"/>
  <c r="W46" i="24"/>
  <c r="Q46" i="24"/>
  <c r="W45" i="24"/>
  <c r="Q45" i="24"/>
  <c r="W44" i="24"/>
  <c r="Q44" i="24"/>
  <c r="W42" i="24"/>
  <c r="Q42" i="24"/>
  <c r="W41" i="24"/>
  <c r="Q41" i="24"/>
  <c r="W39" i="24"/>
  <c r="Q39" i="24"/>
  <c r="W38" i="24"/>
  <c r="Q38" i="24"/>
  <c r="W37" i="24"/>
  <c r="Q37" i="24"/>
  <c r="W36" i="24"/>
  <c r="Q36" i="24"/>
  <c r="W35" i="24"/>
  <c r="Q35" i="24"/>
  <c r="W34" i="24"/>
  <c r="Q34" i="24"/>
  <c r="W33" i="24"/>
  <c r="Q33" i="24"/>
  <c r="W32" i="24"/>
  <c r="Q32" i="24"/>
  <c r="W31" i="24"/>
  <c r="Q31" i="24"/>
  <c r="W30" i="24"/>
  <c r="Q30" i="24"/>
  <c r="W29" i="24"/>
  <c r="Q29" i="24"/>
  <c r="W28" i="24"/>
  <c r="Q28" i="24"/>
  <c r="W27" i="24"/>
  <c r="Q27" i="24"/>
  <c r="W26" i="24"/>
  <c r="Q26" i="24"/>
  <c r="W25" i="24"/>
  <c r="Q25" i="24"/>
  <c r="W24" i="24"/>
  <c r="Q24" i="24"/>
  <c r="W23" i="24"/>
  <c r="Q23" i="24"/>
  <c r="W22" i="24"/>
  <c r="Q22" i="24"/>
  <c r="W21" i="24"/>
  <c r="Q21" i="24"/>
  <c r="W20" i="24"/>
  <c r="Q20" i="24"/>
  <c r="W19" i="24"/>
  <c r="Q19" i="24"/>
  <c r="W18" i="24"/>
  <c r="Q18" i="24"/>
  <c r="W17" i="24"/>
  <c r="Q17" i="24"/>
  <c r="W16" i="24"/>
  <c r="Q16" i="24"/>
  <c r="W15" i="24"/>
  <c r="Q15" i="24"/>
  <c r="W14" i="24"/>
  <c r="Q14" i="24"/>
  <c r="W13" i="24"/>
  <c r="Q13" i="24"/>
  <c r="W12" i="24"/>
  <c r="Q12" i="24"/>
  <c r="W11" i="24"/>
  <c r="Q11" i="24"/>
  <c r="W10" i="24"/>
  <c r="Q10" i="24"/>
  <c r="W9" i="24"/>
  <c r="Q9" i="24"/>
  <c r="W8" i="24"/>
  <c r="Q8" i="24"/>
  <c r="W7" i="24"/>
  <c r="Q7" i="24"/>
  <c r="W6" i="24"/>
  <c r="Q6" i="24"/>
  <c r="GD7" i="35"/>
  <c r="GD49" i="35"/>
  <c r="GD48" i="35"/>
  <c r="GD47" i="35"/>
  <c r="GD46" i="35"/>
  <c r="GD45" i="35"/>
  <c r="GD44" i="35"/>
  <c r="GD42" i="35"/>
  <c r="GD41" i="35"/>
  <c r="GD39" i="35"/>
  <c r="GD38" i="35"/>
  <c r="GD37" i="35"/>
  <c r="GD36" i="35"/>
  <c r="GD35" i="35"/>
  <c r="GD34" i="35"/>
  <c r="GD33" i="35"/>
  <c r="GD32" i="35"/>
  <c r="GD31" i="35"/>
  <c r="GD30" i="35"/>
  <c r="GD29" i="35"/>
  <c r="GD28" i="35"/>
  <c r="GD27" i="35"/>
  <c r="GD26" i="35"/>
  <c r="GD25" i="35"/>
  <c r="GD24" i="35"/>
  <c r="GD23" i="35"/>
  <c r="GD22" i="35"/>
  <c r="GD21" i="35"/>
  <c r="GD20" i="35"/>
  <c r="GD19" i="35"/>
  <c r="GD18" i="35"/>
  <c r="GD17" i="35"/>
  <c r="GD16" i="35"/>
  <c r="GD15" i="35"/>
  <c r="GD14" i="35"/>
  <c r="GD13" i="35"/>
  <c r="GD12" i="35"/>
  <c r="GD11" i="35"/>
  <c r="GD10" i="35"/>
  <c r="GD9" i="35"/>
  <c r="GD8" i="35"/>
  <c r="GD6" i="35"/>
  <c r="J49" i="21"/>
  <c r="J48" i="21"/>
  <c r="J47" i="21"/>
  <c r="J46" i="21"/>
  <c r="J45" i="21"/>
  <c r="J44" i="21"/>
  <c r="J42" i="21"/>
  <c r="J41" i="21"/>
  <c r="J39" i="21"/>
  <c r="J38" i="21"/>
  <c r="J37" i="21"/>
  <c r="J36" i="21"/>
  <c r="J35" i="21"/>
  <c r="J34" i="21"/>
  <c r="J33" i="21"/>
  <c r="J32" i="21"/>
  <c r="J31" i="21"/>
  <c r="J30" i="21"/>
  <c r="J29" i="21"/>
  <c r="J28" i="21"/>
  <c r="J27" i="21"/>
  <c r="J26" i="21"/>
  <c r="J25" i="21"/>
  <c r="J24" i="21"/>
  <c r="J23" i="21"/>
  <c r="J22" i="21"/>
  <c r="J21" i="21"/>
  <c r="J20" i="21"/>
  <c r="J19" i="21"/>
  <c r="J18" i="21"/>
  <c r="J17" i="21"/>
  <c r="J16" i="21"/>
  <c r="J15" i="21"/>
  <c r="J14" i="21"/>
  <c r="J13" i="21"/>
  <c r="J12" i="21"/>
  <c r="J11" i="21"/>
  <c r="J10" i="21"/>
  <c r="J9" i="21"/>
  <c r="J8" i="21"/>
  <c r="J7" i="21"/>
  <c r="J6" i="21"/>
  <c r="G54" i="21"/>
  <c r="U54" i="21"/>
  <c r="T54" i="21"/>
  <c r="S54" i="21"/>
  <c r="R54" i="21"/>
  <c r="O54" i="21"/>
  <c r="N54" i="21"/>
  <c r="M54" i="21"/>
  <c r="L54" i="21"/>
  <c r="W49" i="21"/>
  <c r="Q49" i="21"/>
  <c r="W48" i="21"/>
  <c r="Q48" i="21"/>
  <c r="W47" i="21"/>
  <c r="Q47" i="21"/>
  <c r="W46" i="21"/>
  <c r="Q46" i="21"/>
  <c r="W45" i="21"/>
  <c r="Q45" i="21"/>
  <c r="W44" i="21"/>
  <c r="Q44" i="21"/>
  <c r="W42" i="21"/>
  <c r="Q42" i="21"/>
  <c r="W41" i="21"/>
  <c r="Q41" i="21"/>
  <c r="W39" i="21"/>
  <c r="Q39" i="21"/>
  <c r="W38" i="21"/>
  <c r="Q38" i="21"/>
  <c r="W37" i="21"/>
  <c r="Q37" i="21"/>
  <c r="W36" i="21"/>
  <c r="Q36" i="21"/>
  <c r="W35" i="21"/>
  <c r="Q35" i="21"/>
  <c r="W34" i="21"/>
  <c r="Q34" i="21"/>
  <c r="W33" i="21"/>
  <c r="Q33" i="21"/>
  <c r="W32" i="21"/>
  <c r="Q32" i="21"/>
  <c r="W31" i="21"/>
  <c r="Q31" i="21"/>
  <c r="W30" i="21"/>
  <c r="Q30" i="21"/>
  <c r="W29" i="21"/>
  <c r="Q29" i="21"/>
  <c r="W28" i="21"/>
  <c r="Q28" i="21"/>
  <c r="W27" i="21"/>
  <c r="Q27" i="21"/>
  <c r="W26" i="21"/>
  <c r="Q26" i="21"/>
  <c r="W25" i="21"/>
  <c r="Q25" i="21"/>
  <c r="W24" i="21"/>
  <c r="Q24" i="21"/>
  <c r="W23" i="21"/>
  <c r="Q23" i="21"/>
  <c r="W22" i="21"/>
  <c r="Q22" i="21"/>
  <c r="W21" i="21"/>
  <c r="Q21" i="21"/>
  <c r="W20" i="21"/>
  <c r="Q20" i="21"/>
  <c r="W19" i="21"/>
  <c r="Q19" i="21"/>
  <c r="W18" i="21"/>
  <c r="Q18" i="21"/>
  <c r="W17" i="21"/>
  <c r="Q17" i="21"/>
  <c r="W16" i="21"/>
  <c r="Q16" i="21"/>
  <c r="W15" i="21"/>
  <c r="Q15" i="21"/>
  <c r="W14" i="21"/>
  <c r="Q14" i="21"/>
  <c r="W13" i="21"/>
  <c r="Q13" i="21"/>
  <c r="W12" i="21"/>
  <c r="Q12" i="21"/>
  <c r="W11" i="21"/>
  <c r="Q11" i="21"/>
  <c r="W10" i="21"/>
  <c r="Q10" i="21"/>
  <c r="W9" i="21"/>
  <c r="Q9" i="21"/>
  <c r="W8" i="21"/>
  <c r="Q8" i="21"/>
  <c r="W7" i="21"/>
  <c r="Q7" i="21"/>
  <c r="W6" i="21"/>
  <c r="Q6" i="21"/>
  <c r="Q6" i="23"/>
  <c r="H53" i="23"/>
  <c r="G53" i="23"/>
  <c r="F53" i="23"/>
  <c r="E53" i="23"/>
  <c r="J6" i="23"/>
  <c r="J48" i="23"/>
  <c r="J47" i="23"/>
  <c r="J46" i="23"/>
  <c r="J45" i="23"/>
  <c r="J44" i="23"/>
  <c r="J43" i="23"/>
  <c r="J42" i="23"/>
  <c r="J41" i="23"/>
  <c r="J39" i="23"/>
  <c r="J38" i="23"/>
  <c r="J37" i="23"/>
  <c r="J36" i="23"/>
  <c r="J35" i="23"/>
  <c r="J34" i="23"/>
  <c r="J33" i="23"/>
  <c r="J32" i="23"/>
  <c r="J31" i="23"/>
  <c r="J30" i="23"/>
  <c r="J29" i="23"/>
  <c r="J28" i="23"/>
  <c r="J27" i="23"/>
  <c r="J26" i="23"/>
  <c r="J25" i="23"/>
  <c r="J24" i="23"/>
  <c r="J23" i="23"/>
  <c r="J22" i="23"/>
  <c r="J21" i="23"/>
  <c r="J20" i="23"/>
  <c r="J19" i="23"/>
  <c r="J18" i="23"/>
  <c r="J17" i="23"/>
  <c r="J16" i="23"/>
  <c r="J15" i="23"/>
  <c r="J14" i="23"/>
  <c r="J13" i="23"/>
  <c r="J12" i="23"/>
  <c r="J11" i="23"/>
  <c r="J10" i="23"/>
  <c r="J9" i="23"/>
  <c r="J8" i="23"/>
  <c r="J7" i="23"/>
  <c r="U53" i="23"/>
  <c r="S53" i="23"/>
  <c r="R53" i="23"/>
  <c r="O53" i="23"/>
  <c r="N53" i="23"/>
  <c r="M53" i="23"/>
  <c r="L53" i="23"/>
  <c r="W48" i="23"/>
  <c r="Q48" i="23"/>
  <c r="W47" i="23"/>
  <c r="Q47" i="23"/>
  <c r="W46" i="23"/>
  <c r="Q46" i="23"/>
  <c r="W45" i="23"/>
  <c r="Q45" i="23"/>
  <c r="W44" i="23"/>
  <c r="Q44" i="23"/>
  <c r="W43" i="23"/>
  <c r="Q43" i="23"/>
  <c r="W42" i="23"/>
  <c r="Q42" i="23"/>
  <c r="W41" i="23"/>
  <c r="Q41" i="23"/>
  <c r="W39" i="23"/>
  <c r="Q39" i="23"/>
  <c r="W38" i="23"/>
  <c r="Q38" i="23"/>
  <c r="W37" i="23"/>
  <c r="Q37" i="23"/>
  <c r="W36" i="23"/>
  <c r="Q36" i="23"/>
  <c r="W35" i="23"/>
  <c r="Q35" i="23"/>
  <c r="W34" i="23"/>
  <c r="Q34" i="23"/>
  <c r="W33" i="23"/>
  <c r="Q33" i="23"/>
  <c r="W32" i="23"/>
  <c r="Q32" i="23"/>
  <c r="W31" i="23"/>
  <c r="Q31" i="23"/>
  <c r="W30" i="23"/>
  <c r="Q30" i="23"/>
  <c r="W29" i="23"/>
  <c r="Q29" i="23"/>
  <c r="W28" i="23"/>
  <c r="Q28" i="23"/>
  <c r="W27" i="23"/>
  <c r="Q27" i="23"/>
  <c r="W26" i="23"/>
  <c r="Q26" i="23"/>
  <c r="W25" i="23"/>
  <c r="Q25" i="23"/>
  <c r="W24" i="23"/>
  <c r="Q24" i="23"/>
  <c r="W23" i="23"/>
  <c r="Q23" i="23"/>
  <c r="W22" i="23"/>
  <c r="Q22" i="23"/>
  <c r="W21" i="23"/>
  <c r="Q21" i="23"/>
  <c r="W20" i="23"/>
  <c r="Q20" i="23"/>
  <c r="W19" i="23"/>
  <c r="Q19" i="23"/>
  <c r="W18" i="23"/>
  <c r="Q18" i="23"/>
  <c r="W17" i="23"/>
  <c r="Q17" i="23"/>
  <c r="W16" i="23"/>
  <c r="Q16" i="23"/>
  <c r="W15" i="23"/>
  <c r="Q15" i="23"/>
  <c r="W14" i="23"/>
  <c r="Q14" i="23"/>
  <c r="W13" i="23"/>
  <c r="Q13" i="23"/>
  <c r="W12" i="23"/>
  <c r="Q12" i="23"/>
  <c r="W11" i="23"/>
  <c r="Q11" i="23"/>
  <c r="W10" i="23"/>
  <c r="Q10" i="23"/>
  <c r="W9" i="23"/>
  <c r="Q9" i="23"/>
  <c r="W8" i="23"/>
  <c r="Q8" i="23"/>
  <c r="W7" i="23"/>
  <c r="Q7" i="23"/>
  <c r="W6" i="23"/>
  <c r="H54" i="31"/>
  <c r="I54" i="31"/>
  <c r="F54" i="31"/>
  <c r="E54" i="31"/>
  <c r="J49" i="31"/>
  <c r="J48" i="31"/>
  <c r="J47" i="31"/>
  <c r="J46" i="31"/>
  <c r="J45" i="31"/>
  <c r="J44" i="31"/>
  <c r="J43" i="31"/>
  <c r="J42" i="31"/>
  <c r="J41" i="31"/>
  <c r="J39" i="31"/>
  <c r="J38" i="31"/>
  <c r="J37" i="31"/>
  <c r="J36" i="31"/>
  <c r="J35" i="31"/>
  <c r="J34" i="31"/>
  <c r="J33" i="31"/>
  <c r="J32" i="31"/>
  <c r="J31" i="31"/>
  <c r="J30" i="31"/>
  <c r="J29" i="31"/>
  <c r="J28" i="31"/>
  <c r="J27" i="31"/>
  <c r="J26" i="31"/>
  <c r="J25" i="31"/>
  <c r="J24" i="31"/>
  <c r="J23" i="31"/>
  <c r="J22" i="31"/>
  <c r="J21" i="31"/>
  <c r="J20" i="31"/>
  <c r="J19" i="31"/>
  <c r="J18" i="31"/>
  <c r="J17" i="31"/>
  <c r="J16" i="31"/>
  <c r="J15" i="31"/>
  <c r="J14" i="31"/>
  <c r="J13" i="31"/>
  <c r="J12" i="31"/>
  <c r="J11" i="31"/>
  <c r="J10" i="31"/>
  <c r="J9" i="31"/>
  <c r="J8" i="31"/>
  <c r="J7" i="31"/>
  <c r="J6" i="31"/>
  <c r="U54" i="31"/>
  <c r="S54" i="31"/>
  <c r="O54" i="31"/>
  <c r="N54" i="31"/>
  <c r="M54" i="31"/>
  <c r="L54" i="31"/>
  <c r="W49" i="31"/>
  <c r="Q49" i="31"/>
  <c r="W48" i="31"/>
  <c r="Q48" i="31"/>
  <c r="W47" i="31"/>
  <c r="Q47" i="31"/>
  <c r="W46" i="31"/>
  <c r="Q46" i="31"/>
  <c r="W45" i="31"/>
  <c r="Q45" i="31"/>
  <c r="W44" i="31"/>
  <c r="Q44" i="31"/>
  <c r="W43" i="31"/>
  <c r="Q43" i="31"/>
  <c r="W42" i="31"/>
  <c r="Q42" i="31"/>
  <c r="W41" i="31"/>
  <c r="Q41" i="31"/>
  <c r="W39" i="31"/>
  <c r="Q39" i="31"/>
  <c r="W38" i="31"/>
  <c r="Q38" i="31"/>
  <c r="W37" i="31"/>
  <c r="Q37" i="31"/>
  <c r="W36" i="31"/>
  <c r="Q36" i="31"/>
  <c r="W35" i="31"/>
  <c r="Q35" i="31"/>
  <c r="W34" i="31"/>
  <c r="Q34" i="31"/>
  <c r="W33" i="31"/>
  <c r="Q33" i="31"/>
  <c r="W32" i="31"/>
  <c r="Q32" i="31"/>
  <c r="W31" i="31"/>
  <c r="Q31" i="31"/>
  <c r="W30" i="31"/>
  <c r="Q30" i="31"/>
  <c r="W29" i="31"/>
  <c r="Q29" i="31"/>
  <c r="W28" i="31"/>
  <c r="Q28" i="31"/>
  <c r="W27" i="31"/>
  <c r="Q27" i="31"/>
  <c r="W26" i="31"/>
  <c r="Q26" i="31"/>
  <c r="W25" i="31"/>
  <c r="Q25" i="31"/>
  <c r="W24" i="31"/>
  <c r="Q24" i="31"/>
  <c r="W23" i="31"/>
  <c r="Q23" i="31"/>
  <c r="W22" i="31"/>
  <c r="Q22" i="31"/>
  <c r="W21" i="31"/>
  <c r="Q21" i="31"/>
  <c r="W20" i="31"/>
  <c r="Q20" i="31"/>
  <c r="W19" i="31"/>
  <c r="Q19" i="31"/>
  <c r="W18" i="31"/>
  <c r="Q18" i="31"/>
  <c r="W17" i="31"/>
  <c r="Q17" i="31"/>
  <c r="W16" i="31"/>
  <c r="Q16" i="31"/>
  <c r="W15" i="31"/>
  <c r="Q15" i="31"/>
  <c r="W14" i="31"/>
  <c r="Q14" i="31"/>
  <c r="W13" i="31"/>
  <c r="Q13" i="31"/>
  <c r="W12" i="31"/>
  <c r="Q12" i="31"/>
  <c r="W11" i="31"/>
  <c r="Q11" i="31"/>
  <c r="W10" i="31"/>
  <c r="Q10" i="31"/>
  <c r="W9" i="31"/>
  <c r="Q9" i="31"/>
  <c r="W8" i="31"/>
  <c r="Q8" i="31"/>
  <c r="W7" i="31"/>
  <c r="Q7" i="31"/>
  <c r="W6" i="31"/>
  <c r="Q6" i="31"/>
  <c r="GB54" i="35"/>
  <c r="FZ54" i="35"/>
  <c r="FY54" i="35"/>
  <c r="J14" i="32"/>
  <c r="G53" i="27"/>
  <c r="V53" i="27"/>
  <c r="G53" i="25"/>
  <c r="I54" i="24"/>
  <c r="G54" i="24"/>
  <c r="P54" i="24"/>
  <c r="H54" i="21"/>
  <c r="E54" i="21"/>
  <c r="F54" i="21"/>
  <c r="V53" i="23"/>
  <c r="T53" i="23"/>
  <c r="GA54" i="35"/>
  <c r="GO54" i="35"/>
  <c r="GM54" i="35"/>
  <c r="GL54" i="35"/>
  <c r="GI54" i="35"/>
  <c r="GH54" i="35"/>
  <c r="GG54" i="35"/>
  <c r="GF54" i="35"/>
  <c r="GQ49" i="35"/>
  <c r="GK49" i="35"/>
  <c r="GQ48" i="35"/>
  <c r="GK48" i="35"/>
  <c r="GQ47" i="35"/>
  <c r="GK47" i="35"/>
  <c r="GQ46" i="35"/>
  <c r="GK46" i="35"/>
  <c r="GQ45" i="35"/>
  <c r="GK45" i="35"/>
  <c r="GQ44" i="35"/>
  <c r="GK44" i="35"/>
  <c r="GQ42" i="35"/>
  <c r="GK42" i="35"/>
  <c r="GQ41" i="35"/>
  <c r="GK41" i="35"/>
  <c r="GQ39" i="35"/>
  <c r="GK39" i="35"/>
  <c r="GQ38" i="35"/>
  <c r="GK38" i="35"/>
  <c r="GQ37" i="35"/>
  <c r="GK37" i="35"/>
  <c r="GQ36" i="35"/>
  <c r="GK36" i="35"/>
  <c r="GQ35" i="35"/>
  <c r="GK35" i="35"/>
  <c r="GQ34" i="35"/>
  <c r="GK34" i="35"/>
  <c r="GQ33" i="35"/>
  <c r="GK33" i="35"/>
  <c r="GQ32" i="35"/>
  <c r="GK32" i="35"/>
  <c r="GQ31" i="35"/>
  <c r="GK31" i="35"/>
  <c r="GQ30" i="35"/>
  <c r="GK30" i="35"/>
  <c r="GQ29" i="35"/>
  <c r="GK29" i="35"/>
  <c r="GQ28" i="35"/>
  <c r="GK28" i="35"/>
  <c r="GQ27" i="35"/>
  <c r="GK27" i="35"/>
  <c r="GQ26" i="35"/>
  <c r="GK26" i="35"/>
  <c r="GQ25" i="35"/>
  <c r="GK25" i="35"/>
  <c r="GQ24" i="35"/>
  <c r="GK24" i="35"/>
  <c r="GQ23" i="35"/>
  <c r="GK23" i="35"/>
  <c r="GQ22" i="35"/>
  <c r="GK22" i="35"/>
  <c r="GQ21" i="35"/>
  <c r="GK21" i="35"/>
  <c r="GQ20" i="35"/>
  <c r="GK20" i="35"/>
  <c r="GQ19" i="35"/>
  <c r="GK19" i="35"/>
  <c r="GQ18" i="35"/>
  <c r="GK18" i="35"/>
  <c r="GQ17" i="35"/>
  <c r="GK17" i="35"/>
  <c r="GQ16" i="35"/>
  <c r="GK16" i="35"/>
  <c r="GQ15" i="35"/>
  <c r="GK15" i="35"/>
  <c r="GQ14" i="35"/>
  <c r="GK14" i="35"/>
  <c r="GQ13" i="35"/>
  <c r="GK13" i="35"/>
  <c r="GQ12" i="35"/>
  <c r="GK12" i="35"/>
  <c r="GQ11" i="35"/>
  <c r="GK11" i="35"/>
  <c r="GQ10" i="35"/>
  <c r="GK10" i="35"/>
  <c r="GQ9" i="35"/>
  <c r="GK9" i="35"/>
  <c r="GQ8" i="35"/>
  <c r="GK8" i="35"/>
  <c r="GQ7" i="35"/>
  <c r="GK7" i="35"/>
  <c r="GQ6" i="35"/>
  <c r="GK6" i="35"/>
  <c r="AM6" i="36"/>
  <c r="AS49" i="36"/>
  <c r="AS48" i="36"/>
  <c r="AS47" i="36"/>
  <c r="AS46" i="36"/>
  <c r="AS45" i="36"/>
  <c r="AS44" i="36"/>
  <c r="AS42" i="36"/>
  <c r="AS41" i="36"/>
  <c r="AS39" i="36"/>
  <c r="AS38" i="36"/>
  <c r="AS37" i="36"/>
  <c r="AS36" i="36"/>
  <c r="AS35" i="36"/>
  <c r="AS34" i="36"/>
  <c r="AS33" i="36"/>
  <c r="AS32" i="36"/>
  <c r="AS31" i="36"/>
  <c r="AS30" i="36"/>
  <c r="AS29" i="36"/>
  <c r="AS28" i="36"/>
  <c r="AS27" i="36"/>
  <c r="AS26" i="36"/>
  <c r="AS25" i="36"/>
  <c r="AS24" i="36"/>
  <c r="AS23" i="36"/>
  <c r="AS22" i="36"/>
  <c r="AS21" i="36"/>
  <c r="AS20" i="36"/>
  <c r="AS19" i="36"/>
  <c r="AS18" i="36"/>
  <c r="AS17" i="36"/>
  <c r="AS16" i="36"/>
  <c r="AS15" i="36"/>
  <c r="AS14" i="36"/>
  <c r="AS13" i="36"/>
  <c r="AS12" i="36"/>
  <c r="AS11" i="36"/>
  <c r="AS10" i="36"/>
  <c r="AS9" i="36"/>
  <c r="AS8" i="36"/>
  <c r="AS7" i="36"/>
  <c r="AS6" i="36"/>
  <c r="AM7" i="36"/>
  <c r="AM8" i="36"/>
  <c r="AM9" i="36"/>
  <c r="AM10" i="36"/>
  <c r="AM11" i="36"/>
  <c r="AM12" i="36"/>
  <c r="AM13" i="36"/>
  <c r="AM14" i="36"/>
  <c r="AM15" i="36"/>
  <c r="AM16" i="36"/>
  <c r="AM17" i="36"/>
  <c r="AM18" i="36"/>
  <c r="AM19" i="36"/>
  <c r="AM20" i="36"/>
  <c r="AM21" i="36"/>
  <c r="AM22" i="36"/>
  <c r="AM23" i="36"/>
  <c r="AM24" i="36"/>
  <c r="AM25" i="36"/>
  <c r="AM26" i="36"/>
  <c r="AM27" i="36"/>
  <c r="AM28" i="36"/>
  <c r="AM29" i="36"/>
  <c r="AM30" i="36"/>
  <c r="AM31" i="36"/>
  <c r="AM32" i="36"/>
  <c r="AM33" i="36"/>
  <c r="AM34" i="36"/>
  <c r="AM35" i="36"/>
  <c r="AM36" i="36"/>
  <c r="AM37" i="36"/>
  <c r="AM38" i="36"/>
  <c r="AM39" i="36"/>
  <c r="AM41" i="36"/>
  <c r="AM42" i="36"/>
  <c r="AM44" i="36"/>
  <c r="AM45" i="36"/>
  <c r="AM46" i="36"/>
  <c r="AM47" i="36"/>
  <c r="AM48" i="36"/>
  <c r="AM49" i="36"/>
  <c r="N31" i="38" l="1"/>
  <c r="N30" i="38"/>
  <c r="T30" i="38"/>
  <c r="F31" i="38"/>
  <c r="V14" i="32"/>
  <c r="W12" i="32" s="1"/>
  <c r="O30" i="38"/>
  <c r="P27" i="38"/>
  <c r="P30" i="38" s="1"/>
  <c r="I27" i="38"/>
  <c r="I30" i="38" s="1"/>
  <c r="H31" i="38"/>
  <c r="I53" i="27"/>
  <c r="GP54" i="35"/>
  <c r="V54" i="31"/>
  <c r="M31" i="38"/>
  <c r="V27" i="38"/>
  <c r="V30" i="38" s="1"/>
  <c r="E31" i="38"/>
  <c r="G31" i="38"/>
  <c r="U31" i="38"/>
  <c r="S30" i="38"/>
  <c r="P53" i="23"/>
  <c r="P14" i="32"/>
  <c r="J12" i="32"/>
  <c r="J7" i="32"/>
  <c r="J6" i="32"/>
  <c r="V53" i="25"/>
  <c r="V54" i="24"/>
  <c r="U54" i="24"/>
  <c r="I54" i="21"/>
  <c r="W8" i="32"/>
  <c r="W6" i="32"/>
  <c r="W7" i="32"/>
  <c r="W13" i="32"/>
  <c r="W14" i="32"/>
  <c r="W11" i="32"/>
  <c r="P53" i="25"/>
  <c r="P53" i="27"/>
  <c r="W10" i="32"/>
  <c r="J10" i="32"/>
  <c r="T33" i="38"/>
  <c r="P54" i="21"/>
  <c r="J9" i="32"/>
  <c r="I53" i="23"/>
  <c r="L31" i="38"/>
  <c r="J8" i="32"/>
  <c r="J11" i="32"/>
  <c r="R31" i="38"/>
  <c r="J13" i="32"/>
  <c r="V54" i="21"/>
  <c r="T54" i="31"/>
  <c r="GJ54" i="35"/>
  <c r="GC54" i="35"/>
  <c r="GN54" i="35"/>
  <c r="AF46" i="36"/>
  <c r="AF7" i="36"/>
  <c r="AF9" i="36"/>
  <c r="AF39" i="36"/>
  <c r="AF37" i="36"/>
  <c r="AF16" i="36"/>
  <c r="AF35" i="36"/>
  <c r="AF10" i="36"/>
  <c r="AF27" i="36"/>
  <c r="AF45" i="36"/>
  <c r="AF34" i="36"/>
  <c r="AF32" i="36"/>
  <c r="AF48" i="36"/>
  <c r="AF8" i="36"/>
  <c r="V54" i="36" l="1"/>
  <c r="W9" i="32"/>
  <c r="Q14" i="32"/>
  <c r="P54" i="36"/>
  <c r="Q13" i="32"/>
  <c r="Q11" i="32"/>
  <c r="Q8" i="32"/>
  <c r="Q10" i="32"/>
  <c r="Q6" i="32"/>
  <c r="Q7" i="32"/>
  <c r="Q9" i="32"/>
  <c r="Q12" i="32"/>
  <c r="AF15" i="36"/>
  <c r="AF12" i="36"/>
  <c r="AF20" i="36"/>
  <c r="AF42" i="36"/>
  <c r="AF6" i="36"/>
  <c r="AF21" i="36"/>
  <c r="AF29" i="36"/>
  <c r="AF28" i="36"/>
  <c r="AF14" i="36"/>
  <c r="AF24" i="36"/>
  <c r="AF47" i="36"/>
  <c r="AF36" i="36"/>
  <c r="AF41" i="36"/>
  <c r="AF49" i="36"/>
  <c r="AF11" i="36"/>
  <c r="AF22" i="36"/>
  <c r="AF19" i="36"/>
  <c r="AF25" i="36"/>
  <c r="AF33" i="36"/>
  <c r="AF18" i="36"/>
  <c r="AF38" i="36"/>
  <c r="AF26" i="36"/>
  <c r="AF17" i="36"/>
  <c r="AF23" i="36"/>
  <c r="AF31" i="36"/>
  <c r="AF44" i="36"/>
  <c r="AF30" i="36"/>
  <c r="AF13" i="36"/>
</calcChain>
</file>

<file path=xl/sharedStrings.xml><?xml version="1.0" encoding="utf-8"?>
<sst xmlns="http://schemas.openxmlformats.org/spreadsheetml/2006/main" count="1781" uniqueCount="232">
  <si>
    <t>Rozpočtová</t>
  </si>
  <si>
    <t>z toho :</t>
  </si>
  <si>
    <t>kapitola</t>
  </si>
  <si>
    <t>KPR</t>
  </si>
  <si>
    <t>Kancelář prezidenta</t>
  </si>
  <si>
    <t>Kparl</t>
  </si>
  <si>
    <t>Parlament</t>
  </si>
  <si>
    <t>Ksen</t>
  </si>
  <si>
    <t>Kancelář Senátu</t>
  </si>
  <si>
    <t>ÚV</t>
  </si>
  <si>
    <t>Úřad vlády</t>
  </si>
  <si>
    <t>MZV</t>
  </si>
  <si>
    <t>Ministerstvo zahraničních věcí</t>
  </si>
  <si>
    <t>MO</t>
  </si>
  <si>
    <t xml:space="preserve">Ministerstvo obrany                                      </t>
  </si>
  <si>
    <t>MF</t>
  </si>
  <si>
    <t xml:space="preserve">Ministerstvo financí                       </t>
  </si>
  <si>
    <t>MPSV</t>
  </si>
  <si>
    <t>Ministerstvo práce a sociálních věcí</t>
  </si>
  <si>
    <t>MV</t>
  </si>
  <si>
    <t xml:space="preserve">Ministerstvo vnitra                                </t>
  </si>
  <si>
    <t>MŽP</t>
  </si>
  <si>
    <t>Ministerstvo životního prostředí</t>
  </si>
  <si>
    <t>MMR</t>
  </si>
  <si>
    <t>Ministerstvo pro místní rozvoj</t>
  </si>
  <si>
    <t>GA</t>
  </si>
  <si>
    <t>Grantová agentura</t>
  </si>
  <si>
    <t>MPO</t>
  </si>
  <si>
    <t>Ministerstvo průmyslu a obchodu</t>
  </si>
  <si>
    <t>MD</t>
  </si>
  <si>
    <t>Ministerstvo dopravy</t>
  </si>
  <si>
    <t>MZe</t>
  </si>
  <si>
    <t>Ministerstvo zemědělství</t>
  </si>
  <si>
    <t>MŠMT</t>
  </si>
  <si>
    <t>Ministerstvo školství, mládeže a tělovýchovy</t>
  </si>
  <si>
    <t>MK</t>
  </si>
  <si>
    <t>Ministerstvo kultury</t>
  </si>
  <si>
    <t>Mzdr</t>
  </si>
  <si>
    <t>Ministerstvo zdravotnictví</t>
  </si>
  <si>
    <t>Mspr</t>
  </si>
  <si>
    <t>Ministerstvo spravedlnosti</t>
  </si>
  <si>
    <t>ÚPV</t>
  </si>
  <si>
    <t>Úřad průmyslového vlastnictví</t>
  </si>
  <si>
    <t>ČSÚ</t>
  </si>
  <si>
    <t xml:space="preserve">Český statistický úřad                               </t>
  </si>
  <si>
    <t>ČÚZK</t>
  </si>
  <si>
    <t>Český úřad zeměměřický a katastrální</t>
  </si>
  <si>
    <t>ČBÚ</t>
  </si>
  <si>
    <t>ÚOHS</t>
  </si>
  <si>
    <t>Ministerstvo pro hospodářskou soutěž</t>
  </si>
  <si>
    <t>ÚS</t>
  </si>
  <si>
    <t>Ústavní soud</t>
  </si>
  <si>
    <t>AV</t>
  </si>
  <si>
    <t>Akademie věd</t>
  </si>
  <si>
    <t>RRTV</t>
  </si>
  <si>
    <t>Rada pro rozhlasové a televizní vysílání</t>
  </si>
  <si>
    <t>SSHR</t>
  </si>
  <si>
    <t>Správa státních hmotných rezerv</t>
  </si>
  <si>
    <t>SÚJB</t>
  </si>
  <si>
    <t>Státní úřad pro jadernou bezpečnost</t>
  </si>
  <si>
    <t>NKÚ</t>
  </si>
  <si>
    <t>Nejvyšší kontrolní úřad</t>
  </si>
  <si>
    <t xml:space="preserve"> C E L K E M</t>
  </si>
  <si>
    <t>-</t>
  </si>
  <si>
    <t xml:space="preserve"> C e l k e m</t>
  </si>
  <si>
    <t xml:space="preserve"> Úřady práce</t>
  </si>
  <si>
    <t xml:space="preserve"> Česká správa sociálního zabezpečení</t>
  </si>
  <si>
    <t xml:space="preserve"> Puncovní úřad </t>
  </si>
  <si>
    <t xml:space="preserve"> Česká obchodní inspekce</t>
  </si>
  <si>
    <t xml:space="preserve"> Státní energetická inspekce</t>
  </si>
  <si>
    <t xml:space="preserve"> Úřad pro civilní letectví</t>
  </si>
  <si>
    <t xml:space="preserve"> Státní plavební správa</t>
  </si>
  <si>
    <t xml:space="preserve"> Státní veterinární správa</t>
  </si>
  <si>
    <t xml:space="preserve"> Česká zemědělská a potravinářská inspekce</t>
  </si>
  <si>
    <t xml:space="preserve"> Česká školní inspekce</t>
  </si>
  <si>
    <t xml:space="preserve"> Státní ústav pro kontrolu léčiv</t>
  </si>
  <si>
    <t xml:space="preserve"> Katastrální úřady</t>
  </si>
  <si>
    <t xml:space="preserve"> Zeměměřické a katatrální inspektoráty</t>
  </si>
  <si>
    <t xml:space="preserve"> Zeměměřický úřad</t>
  </si>
  <si>
    <t xml:space="preserve"> Složky ministerstva vnitra</t>
  </si>
  <si>
    <t>NBÚ</t>
  </si>
  <si>
    <t>Národní bezpečnostní úřad</t>
  </si>
  <si>
    <t>KVOP</t>
  </si>
  <si>
    <t>ÚOOÚ</t>
  </si>
  <si>
    <t xml:space="preserve"> Úřad pro normalizaci, metrologii a státní zkušebnictví</t>
  </si>
  <si>
    <t>Český telekomunikační úřad</t>
  </si>
  <si>
    <t xml:space="preserve"> Ústav pro státní kontrolu veterinárních biopreparátů a léčiv</t>
  </si>
  <si>
    <t>ČTÚ</t>
  </si>
  <si>
    <t>ERÚ</t>
  </si>
  <si>
    <t>Energetický regulační úřad</t>
  </si>
  <si>
    <t xml:space="preserve"> Ústřední kontrolní a zkušební ústav zemědělský</t>
  </si>
  <si>
    <t>kancelář veřejného ochránce práv</t>
  </si>
  <si>
    <t>Úřad pro ochranu osobních údajů</t>
  </si>
  <si>
    <t>Český báňský úřad</t>
  </si>
  <si>
    <t>Drážní inspekce</t>
  </si>
  <si>
    <t xml:space="preserve"> Český úřad pro zkoušení zbraní a střeliva</t>
  </si>
  <si>
    <t xml:space="preserve"> KHS- správní úřady</t>
  </si>
  <si>
    <t xml:space="preserve"> OSS - státní správa   C E L K E M</t>
  </si>
  <si>
    <t xml:space="preserve"> Úřad pro mezinárodně právní ochranu dětí</t>
  </si>
  <si>
    <t xml:space="preserve"> Státní úřad inspekce práce</t>
  </si>
  <si>
    <t>ÚSTR</t>
  </si>
  <si>
    <t xml:space="preserve">             SCHV. ROZPOČET 2013</t>
  </si>
  <si>
    <t xml:space="preserve">              UPRAV. ROZPOČET  2013</t>
  </si>
  <si>
    <t xml:space="preserve">               SKUTEČNOST  2013</t>
  </si>
  <si>
    <t>Technologická agentura ČR</t>
  </si>
  <si>
    <t>GIBS</t>
  </si>
  <si>
    <t>Generální finanční ředitelství</t>
  </si>
  <si>
    <t>Archiv bezpečnostních složek (vč. ÚSTR)</t>
  </si>
  <si>
    <t xml:space="preserve"> Česká plemenářská inspekce</t>
  </si>
  <si>
    <t>Státní pozemkový úřad</t>
  </si>
  <si>
    <t xml:space="preserve">             SCHV. ROZPOČET 2014</t>
  </si>
  <si>
    <t xml:space="preserve">              UPRAV. ROZPOČET  2014</t>
  </si>
  <si>
    <t xml:space="preserve">               SKUTEČNOST  2014</t>
  </si>
  <si>
    <t xml:space="preserve">             SCHV. ROZPOČET 2015</t>
  </si>
  <si>
    <t xml:space="preserve">              UPRAV. ROZPOČET  2015</t>
  </si>
  <si>
    <t xml:space="preserve">               SKUTEČNOST  2015</t>
  </si>
  <si>
    <t xml:space="preserve">             SCHV. ROZPOČET 2016</t>
  </si>
  <si>
    <t xml:space="preserve">              UPRAV. ROZPOČET  2016</t>
  </si>
  <si>
    <t xml:space="preserve">               SKUTEČNOST  2016</t>
  </si>
  <si>
    <t xml:space="preserve">             SCHV. ROZPOČET 2017</t>
  </si>
  <si>
    <t xml:space="preserve">              UPRAV. ROZPOČET  2017</t>
  </si>
  <si>
    <t xml:space="preserve">               SKUTEČNOST  2017</t>
  </si>
  <si>
    <t xml:space="preserve">             SCHV. ROZPOČET 2018</t>
  </si>
  <si>
    <t xml:space="preserve">              UPRAV. ROZPOČET  2018</t>
  </si>
  <si>
    <t xml:space="preserve">               SKUTEČNOST  2018</t>
  </si>
  <si>
    <t xml:space="preserve">             SCHV. ROZPOČET 2019</t>
  </si>
  <si>
    <t xml:space="preserve">              UPRAV. ROZPOČET  2019</t>
  </si>
  <si>
    <t xml:space="preserve">               SKUTEČNOST  2019</t>
  </si>
  <si>
    <t xml:space="preserve">             SCHV. ROZPOČET 2020</t>
  </si>
  <si>
    <t xml:space="preserve">              UPRAV. ROZPOČET  2020</t>
  </si>
  <si>
    <t xml:space="preserve">               SKUTEČNOST  2020</t>
  </si>
  <si>
    <t>Číslo rozp. Kapitol</t>
  </si>
  <si>
    <t>Název kapitoly</t>
  </si>
  <si>
    <t>PROSTŘEDKY NA PLATY</t>
  </si>
  <si>
    <t>POČET ZAMĚSTANCŮ</t>
  </si>
  <si>
    <t>Pořadí Ø měsíčního platu</t>
  </si>
  <si>
    <r>
      <t xml:space="preserve">INDEX </t>
    </r>
    <r>
      <rPr>
        <b/>
        <sz val="12"/>
        <color indexed="9"/>
        <rFont val="Calibri"/>
        <family val="2"/>
        <charset val="238"/>
      </rPr>
      <t>Ø</t>
    </r>
    <r>
      <rPr>
        <b/>
        <sz val="12"/>
        <color indexed="9"/>
        <rFont val="Times New Roman"/>
        <family val="1"/>
        <charset val="238"/>
      </rPr>
      <t xml:space="preserve"> platu</t>
    </r>
  </si>
  <si>
    <t>schv. 2013 ke schv. 2012</t>
  </si>
  <si>
    <t>skut. 2013 ke skut. 2012</t>
  </si>
  <si>
    <t>skut. 2013 k uprav. rozp. 2013</t>
  </si>
  <si>
    <t>schv. 2014 ke schv. 2013</t>
  </si>
  <si>
    <t>skut. 2014 k uprav. rozp. 2014</t>
  </si>
  <si>
    <t>skut. 2014 ke skut. 2013</t>
  </si>
  <si>
    <t>schv. 2015 ke schv. 2014</t>
  </si>
  <si>
    <t>skut. 2015 k uprav. rozp. 2015</t>
  </si>
  <si>
    <t>skut. 2015 ke skut. 2014</t>
  </si>
  <si>
    <t>schv. 2016 ke schv. 2015</t>
  </si>
  <si>
    <t>skut. 2016 k uprav. rozp. 2016</t>
  </si>
  <si>
    <t>skut. 2016 ke skut. 2015</t>
  </si>
  <si>
    <t>schv. 2017 ke schv. 2016</t>
  </si>
  <si>
    <t>skut. 2017 k uprav. rozp. 2017</t>
  </si>
  <si>
    <t>skut. 2017 ke skut. 2016</t>
  </si>
  <si>
    <t>schv. 2018 ke schv. 2017</t>
  </si>
  <si>
    <t>skut. 2018 k uprav. rozp. 2018</t>
  </si>
  <si>
    <t>skut. 2018 ke skut. 2017</t>
  </si>
  <si>
    <t>schv. 2019 ke schv. 2018</t>
  </si>
  <si>
    <t>skut. 2019 k uprav. rozp. 2019</t>
  </si>
  <si>
    <t>skut. 2019 ke skut. 2018</t>
  </si>
  <si>
    <t>schv. 2020 ke schv. 2019</t>
  </si>
  <si>
    <t>skut. 2020 k uprav. rozp. 2020</t>
  </si>
  <si>
    <t>skut. 2020 ke skut. 2019</t>
  </si>
  <si>
    <t>Ostatní   R O CELKEM</t>
  </si>
  <si>
    <t>INDEX Ø platu</t>
  </si>
  <si>
    <t>TAČR</t>
  </si>
  <si>
    <t>ÚSTŘEDNĚ ŘÍZENÉ ORGANIZACE CELKEM</t>
  </si>
  <si>
    <t>ROZPOČTOVÁ KAPITOLA</t>
  </si>
  <si>
    <t>STÁTNÍ SPRÁVA CELKEM</t>
  </si>
  <si>
    <t>ÚSTŘEDNÍ ORGÁNY CELKEM</t>
  </si>
  <si>
    <t>SOBCPO  CELKEM</t>
  </si>
  <si>
    <t>PO  CELKEM</t>
  </si>
  <si>
    <t>OSS A PO CELKEM</t>
  </si>
  <si>
    <t>Název kapitoly / CELKEM</t>
  </si>
  <si>
    <t xml:space="preserve">OSS -  Státní správa </t>
  </si>
  <si>
    <t xml:space="preserve">Státní správa </t>
  </si>
  <si>
    <t>Příspěvkové organizace (PO)</t>
  </si>
  <si>
    <t xml:space="preserve">Státní správa bez SOBCPO </t>
  </si>
  <si>
    <t>Správa ve slož. Obrany, bezpečnost. Celní a právní ochrany (SOBCPO)</t>
  </si>
  <si>
    <t>Ostatní organizační složky státu (OOSS)</t>
  </si>
  <si>
    <t>Organizační složky státu (OSS)</t>
  </si>
  <si>
    <t>RO CELKEM</t>
  </si>
  <si>
    <t>OSS (RO) CELKEM</t>
  </si>
  <si>
    <t>PROSTŘEDKY NA PLATY A OPPP v Kč</t>
  </si>
  <si>
    <t>OPPP v Kč</t>
  </si>
  <si>
    <t>Ø měsíční plat v Kč</t>
  </si>
  <si>
    <t>Drážní úřad</t>
  </si>
  <si>
    <t>Ústav pro odborné zjišťování příčin leteckých nehod</t>
  </si>
  <si>
    <t>Ústřední orgány státní správy (UO)</t>
  </si>
  <si>
    <t>NSA</t>
  </si>
  <si>
    <t>ÚPDI</t>
  </si>
  <si>
    <t>NÚKIB</t>
  </si>
  <si>
    <t>ÚNRR</t>
  </si>
  <si>
    <t>ÚPDSH</t>
  </si>
  <si>
    <t>ÚDHPSH</t>
  </si>
  <si>
    <t>ÚDHPS</t>
  </si>
  <si>
    <t>Finanční analytický úřad</t>
  </si>
  <si>
    <t>Agentura ochrany přírody a krajiny ČR</t>
  </si>
  <si>
    <t>Česká inspekce živostního prostředí</t>
  </si>
  <si>
    <t>čili v roce 2018 bude sedět list sumář, nikoliv však listy státní správa, ROPO a OSS</t>
  </si>
  <si>
    <t>Pozn: s ohledem na plynulost vývojové řady jsou data za ÚS  ze SZÚ 2018 - v průběhu roku 2018 změna z ÚO na OOSS,</t>
  </si>
  <si>
    <t>378 NÚKIB</t>
  </si>
  <si>
    <t>381 NKÚ</t>
  </si>
  <si>
    <t>Kancelář veřejného ochránce práv</t>
  </si>
  <si>
    <t>Ústav pro studium totalitních režimů</t>
  </si>
  <si>
    <t>Úřad Národní rozpočtové rady</t>
  </si>
  <si>
    <t>Národní sportovní agentura</t>
  </si>
  <si>
    <t>Úřad pro dohled nad hospodařením politických stran a politických hnutí</t>
  </si>
  <si>
    <t>Úřad pro přístup k dopravní infrastruktuře</t>
  </si>
  <si>
    <t>Generální inspekce bezpečnostních sborů</t>
  </si>
  <si>
    <t>Národní úřad pro kybernetickou a informační bezpečnost</t>
  </si>
  <si>
    <t>Složky ministerstva obrany</t>
  </si>
  <si>
    <t>Celkem</t>
  </si>
  <si>
    <t>Generální ředitelství cel</t>
  </si>
  <si>
    <t>Policie</t>
  </si>
  <si>
    <t>Hasičský záchranný sbor ČR</t>
  </si>
  <si>
    <t>Soudy</t>
  </si>
  <si>
    <t>Státní zastupitelství</t>
  </si>
  <si>
    <t>Vězeňská služba</t>
  </si>
  <si>
    <t>SOBCPO JEDNOTLIVÝ  CELKEM</t>
  </si>
  <si>
    <t>;</t>
  </si>
  <si>
    <t>DIA</t>
  </si>
  <si>
    <t xml:space="preserve">             SCHV. ROZPOČET 2024</t>
  </si>
  <si>
    <t xml:space="preserve">              UPRAV. ROZPOČET  2024</t>
  </si>
  <si>
    <t xml:space="preserve">               SKUTEČNOST  2024</t>
  </si>
  <si>
    <t xml:space="preserve">         SCHV. ROZPOČET 2024</t>
  </si>
  <si>
    <t xml:space="preserve">             SCHV. ROZPOČET 2025</t>
  </si>
  <si>
    <t xml:space="preserve">              UPRAV. ROZPOČET  2025</t>
  </si>
  <si>
    <t xml:space="preserve">               SKUTEČNOST  2025</t>
  </si>
  <si>
    <t>Inspekce silniční dopravy</t>
  </si>
  <si>
    <t>Dopravní a energetický stavební úrad</t>
  </si>
  <si>
    <t xml:space="preserve">         SCHV. ROZPOČET 2025</t>
  </si>
  <si>
    <t>z toho příslušníci</t>
  </si>
  <si>
    <t>z toho vojáci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</si>
</sst>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2">
    <font>
      <sz val="10"/>
      <name val="Arial CE"/>
      <charset val="238"/>
    </font>
    <font>
      <b/>
      <sz val="10"/>
      <name val="Arial CE"/>
      <charset val="238"/>
    </font>
    <font>
      <sz val="10"/>
      <name val="Arial CE"/>
      <charset val="238"/>
    </font>
    <font>
      <b/>
      <sz val="9"/>
      <name val="Arial CE"/>
      <family val="2"/>
      <charset val="238"/>
    </font>
    <font>
      <b/>
      <sz val="10"/>
      <name val="Arial CE"/>
      <family val="2"/>
      <charset val="238"/>
    </font>
    <font>
      <b/>
      <sz val="11"/>
      <name val="Arial CE"/>
      <family val="2"/>
      <charset val="238"/>
    </font>
    <font>
      <sz val="11"/>
      <name val="Arial CE"/>
      <family val="2"/>
      <charset val="238"/>
    </font>
    <font>
      <sz val="10"/>
      <name val="Arial CE"/>
      <family val="2"/>
      <charset val="238"/>
    </font>
    <font>
      <sz val="10"/>
      <name val="Times New Roman"/>
      <family val="1"/>
      <charset val="238"/>
    </font>
    <font>
      <b/>
      <sz val="9"/>
      <name val="Times New Roman"/>
      <family val="1"/>
      <charset val="238"/>
    </font>
    <font>
      <sz val="8"/>
      <name val="Times New Roman"/>
      <family val="1"/>
      <charset val="238"/>
    </font>
    <font>
      <b/>
      <sz val="11"/>
      <name val="Times New Roman"/>
      <family val="1"/>
      <charset val="238"/>
    </font>
    <font>
      <b/>
      <sz val="14"/>
      <name val="Times New Roman"/>
      <family val="1"/>
      <charset val="238"/>
    </font>
    <font>
      <sz val="10"/>
      <color indexed="10"/>
      <name val="Times New Roman"/>
      <family val="1"/>
      <charset val="238"/>
    </font>
    <font>
      <b/>
      <sz val="9"/>
      <color indexed="10"/>
      <name val="Times New Roman"/>
      <family val="1"/>
      <charset val="238"/>
    </font>
    <font>
      <b/>
      <sz val="10"/>
      <name val="Times New Roman"/>
      <family val="1"/>
      <charset val="238"/>
    </font>
    <font>
      <b/>
      <sz val="12"/>
      <name val="Times New Roman"/>
      <family val="1"/>
      <charset val="238"/>
    </font>
    <font>
      <sz val="12"/>
      <name val="Arial CE"/>
      <charset val="238"/>
    </font>
    <font>
      <b/>
      <sz val="11"/>
      <name val="Arial CE"/>
      <charset val="238"/>
    </font>
    <font>
      <b/>
      <sz val="14"/>
      <name val="Arial CE"/>
      <charset val="238"/>
    </font>
    <font>
      <b/>
      <sz val="12"/>
      <color indexed="9"/>
      <name val="Times New Roman"/>
      <family val="1"/>
      <charset val="238"/>
    </font>
    <font>
      <sz val="9"/>
      <name val="Times New Roman"/>
      <family val="1"/>
      <charset val="238"/>
    </font>
    <font>
      <b/>
      <sz val="12"/>
      <color indexed="9"/>
      <name val="Calibri"/>
      <family val="2"/>
      <charset val="238"/>
    </font>
    <font>
      <sz val="8"/>
      <name val="Arial"/>
      <family val="2"/>
      <charset val="238"/>
    </font>
    <font>
      <sz val="8"/>
      <name val="Arial"/>
      <family val="2"/>
      <charset val="238"/>
    </font>
    <font>
      <sz val="8"/>
      <name val="Arial"/>
      <family val="2"/>
    </font>
    <font>
      <b/>
      <sz val="8"/>
      <name val="Arial"/>
      <family val="2"/>
    </font>
    <font>
      <sz val="8"/>
      <color indexed="8"/>
      <name val="Arial"/>
      <family val="2"/>
    </font>
    <font>
      <sz val="10"/>
      <name val="Arial"/>
      <family val="2"/>
    </font>
    <font>
      <b/>
      <sz val="8"/>
      <color indexed="8"/>
      <name val="Arial"/>
      <family val="2"/>
    </font>
    <font>
      <sz val="19"/>
      <name val="Arial"/>
      <family val="2"/>
    </font>
    <font>
      <sz val="8"/>
      <color indexed="14"/>
      <name val="Arial"/>
      <family val="2"/>
    </font>
    <font>
      <b/>
      <sz val="10"/>
      <name val="Arial"/>
      <family val="2"/>
      <charset val="238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sz val="11"/>
      <color indexed="37"/>
      <name val="Calibri"/>
      <family val="2"/>
    </font>
    <font>
      <b/>
      <sz val="11"/>
      <color indexed="17"/>
      <name val="Calibri"/>
      <family val="2"/>
    </font>
    <font>
      <b/>
      <sz val="11"/>
      <color indexed="9"/>
      <name val="Calibri"/>
      <family val="2"/>
    </font>
    <font>
      <b/>
      <sz val="11"/>
      <color indexed="8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48"/>
      <name val="Calibri"/>
      <family val="2"/>
    </font>
    <font>
      <sz val="11"/>
      <color indexed="17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sz val="8"/>
      <color indexed="62"/>
      <name val="Arial"/>
      <family val="2"/>
    </font>
    <font>
      <b/>
      <sz val="8"/>
      <name val="Arial"/>
      <family val="2"/>
      <charset val="238"/>
    </font>
    <font>
      <i/>
      <sz val="10"/>
      <color indexed="18"/>
      <name val="Arial"/>
      <family val="2"/>
    </font>
    <font>
      <sz val="12"/>
      <color indexed="10"/>
      <name val="Times New Roman"/>
      <family val="1"/>
      <charset val="238"/>
    </font>
    <font>
      <sz val="9"/>
      <color indexed="10"/>
      <name val="Times New Roman"/>
      <family val="1"/>
      <charset val="238"/>
    </font>
    <font>
      <b/>
      <i/>
      <sz val="12"/>
      <name val="Times New Roman"/>
      <family val="1"/>
      <charset val="238"/>
    </font>
    <font>
      <sz val="11"/>
      <color theme="1"/>
      <name val="Times New Roman"/>
      <family val="2"/>
      <charset val="238"/>
      <scheme val="minor"/>
    </font>
    <font>
      <sz val="10"/>
      <color theme="0"/>
      <name val="Times New Roman"/>
      <family val="1"/>
      <charset val="238"/>
    </font>
    <font>
      <sz val="12"/>
      <color theme="0"/>
      <name val="Times New Roman"/>
      <family val="1"/>
      <charset val="238"/>
    </font>
    <font>
      <b/>
      <sz val="11"/>
      <color theme="1"/>
      <name val="Times New Roman"/>
      <family val="1"/>
      <charset val="238"/>
    </font>
    <font>
      <sz val="10"/>
      <color rgb="FFFF0000"/>
      <name val="Times New Roman"/>
      <family val="1"/>
      <charset val="238"/>
    </font>
    <font>
      <b/>
      <sz val="20"/>
      <color theme="1"/>
      <name val="Times New Roman"/>
      <family val="1"/>
      <charset val="238"/>
    </font>
    <font>
      <sz val="10"/>
      <color theme="1"/>
      <name val="Arial"/>
      <family val="2"/>
      <charset val="238"/>
      <scheme val="major"/>
    </font>
    <font>
      <b/>
      <sz val="10"/>
      <color theme="1"/>
      <name val="Arial"/>
      <family val="2"/>
      <charset val="238"/>
      <scheme val="major"/>
    </font>
    <font>
      <sz val="10"/>
      <name val="Arial"/>
      <family val="2"/>
      <charset val="238"/>
      <scheme val="major"/>
    </font>
    <font>
      <b/>
      <sz val="9"/>
      <name val="Arial"/>
      <family val="2"/>
      <charset val="238"/>
      <scheme val="major"/>
    </font>
    <font>
      <sz val="10"/>
      <color rgb="FFFF0000"/>
      <name val="Arial"/>
      <family val="2"/>
      <charset val="238"/>
      <scheme val="major"/>
    </font>
    <font>
      <b/>
      <sz val="10"/>
      <name val="Arial"/>
      <family val="2"/>
      <charset val="238"/>
      <scheme val="major"/>
    </font>
    <font>
      <sz val="10"/>
      <color rgb="FF00B050"/>
      <name val="Times New Roman"/>
      <family val="1"/>
      <charset val="238"/>
    </font>
    <font>
      <sz val="10"/>
      <color rgb="FF00B050"/>
      <name val="Arial"/>
      <family val="2"/>
      <charset val="238"/>
      <scheme val="major"/>
    </font>
    <font>
      <sz val="10"/>
      <color theme="1"/>
      <name val="Times New Roman"/>
      <family val="1"/>
      <charset val="238"/>
    </font>
    <font>
      <b/>
      <sz val="10"/>
      <color theme="1"/>
      <name val="Times New Roman"/>
      <family val="1"/>
      <charset val="238"/>
    </font>
    <font>
      <sz val="10"/>
      <color theme="1"/>
      <name val="Arial CE"/>
      <charset val="238"/>
    </font>
    <font>
      <sz val="11"/>
      <color theme="1"/>
      <name val="Arial CE"/>
      <family val="2"/>
      <charset val="238"/>
    </font>
    <font>
      <b/>
      <sz val="11"/>
      <color theme="1"/>
      <name val="Arial CE"/>
      <family val="2"/>
      <charset val="238"/>
    </font>
    <font>
      <b/>
      <sz val="11"/>
      <color theme="1"/>
      <name val="Arial CE"/>
      <charset val="238"/>
    </font>
    <font>
      <sz val="11"/>
      <color theme="1"/>
      <name val="Arial CE"/>
      <charset val="238"/>
    </font>
    <font>
      <b/>
      <sz val="14"/>
      <color theme="0"/>
      <name val="Times New Roman"/>
      <family val="1"/>
      <charset val="238"/>
    </font>
    <font>
      <sz val="9"/>
      <color rgb="FFFF0000"/>
      <name val="Times New Roman"/>
      <family val="1"/>
      <charset val="238"/>
    </font>
    <font>
      <sz val="12"/>
      <color rgb="FFFF0000"/>
      <name val="Times New Roman"/>
      <family val="1"/>
      <charset val="238"/>
    </font>
    <font>
      <b/>
      <sz val="12"/>
      <color theme="0"/>
      <name val="Times New Roman"/>
      <family val="1"/>
      <charset val="238"/>
    </font>
    <font>
      <b/>
      <sz val="10"/>
      <color theme="0"/>
      <name val="Times New Roman"/>
      <family val="1"/>
      <charset val="238"/>
    </font>
    <font>
      <sz val="9"/>
      <color theme="1"/>
      <name val="Times New Roman"/>
      <family val="1"/>
      <charset val="238"/>
    </font>
    <font>
      <b/>
      <sz val="9"/>
      <color theme="1"/>
      <name val="Times New Roman"/>
      <family val="1"/>
      <charset val="238"/>
    </font>
    <font>
      <b/>
      <sz val="16"/>
      <color theme="0"/>
      <name val="Times New Roman"/>
      <family val="1"/>
      <charset val="238"/>
    </font>
    <font>
      <b/>
      <sz val="22"/>
      <color theme="0"/>
      <name val="Times New Roman"/>
      <family val="1"/>
      <charset val="238"/>
    </font>
  </fonts>
  <fills count="61">
    <fill>
      <patternFill patternType="none"/>
    </fill>
    <fill>
      <patternFill patternType="gray125"/>
    </fill>
    <fill>
      <patternFill patternType="solid">
        <fgColor indexed="40"/>
      </patternFill>
    </fill>
    <fill>
      <patternFill patternType="solid">
        <fgColor indexed="50"/>
      </patternFill>
    </fill>
    <fill>
      <patternFill patternType="solid">
        <fgColor indexed="41"/>
      </patternFill>
    </fill>
    <fill>
      <patternFill patternType="solid">
        <fgColor indexed="22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1"/>
      </patternFill>
    </fill>
    <fill>
      <patternFill patternType="solid">
        <fgColor indexed="48"/>
        <bgColor indexed="48"/>
      </patternFill>
    </fill>
    <fill>
      <patternFill patternType="solid">
        <fgColor indexed="61"/>
        <bgColor indexed="61"/>
      </patternFill>
    </fill>
    <fill>
      <patternFill patternType="solid">
        <fgColor indexed="22"/>
        <bgColor indexed="22"/>
      </patternFill>
    </fill>
    <fill>
      <patternFill patternType="solid">
        <fgColor indexed="58"/>
        <bgColor indexed="58"/>
      </patternFill>
    </fill>
    <fill>
      <patternFill patternType="solid">
        <fgColor indexed="25"/>
        <bgColor indexed="25"/>
      </patternFill>
    </fill>
    <fill>
      <patternFill patternType="solid">
        <fgColor indexed="31"/>
        <bgColor indexed="31"/>
      </patternFill>
    </fill>
    <fill>
      <patternFill patternType="solid">
        <fgColor indexed="40"/>
        <bgColor indexed="40"/>
      </patternFill>
    </fill>
    <fill>
      <patternFill patternType="solid">
        <fgColor indexed="45"/>
        <bgColor indexed="45"/>
      </patternFill>
    </fill>
    <fill>
      <patternFill patternType="solid">
        <fgColor indexed="57"/>
        <bgColor indexed="57"/>
      </patternFill>
    </fill>
    <fill>
      <patternFill patternType="solid">
        <fgColor indexed="60"/>
        <bgColor indexed="60"/>
      </patternFill>
    </fill>
    <fill>
      <patternFill patternType="solid">
        <fgColor indexed="11"/>
        <bgColor indexed="11"/>
      </patternFill>
    </fill>
    <fill>
      <patternFill patternType="solid">
        <fgColor indexed="50"/>
        <bgColor indexed="50"/>
      </patternFill>
    </fill>
    <fill>
      <patternFill patternType="solid">
        <fgColor indexed="18"/>
        <bgColor indexed="18"/>
      </patternFill>
    </fill>
    <fill>
      <patternFill patternType="solid">
        <fgColor indexed="55"/>
        <bgColor indexed="55"/>
      </patternFill>
    </fill>
    <fill>
      <patternFill patternType="solid">
        <fgColor indexed="41"/>
        <bgColor indexed="41"/>
      </patternFill>
    </fill>
    <fill>
      <patternFill patternType="solid">
        <fgColor indexed="54"/>
        <bgColor indexed="54"/>
      </patternFill>
    </fill>
    <fill>
      <patternFill patternType="solid">
        <fgColor indexed="53"/>
        <bgColor indexed="53"/>
      </patternFill>
    </fill>
    <fill>
      <patternFill patternType="solid">
        <fgColor indexed="26"/>
        <bgColor indexed="26"/>
      </patternFill>
    </fill>
    <fill>
      <patternFill patternType="solid">
        <fgColor indexed="47"/>
        <bgColor indexed="47"/>
      </patternFill>
    </fill>
    <fill>
      <patternFill patternType="solid">
        <fgColor indexed="51"/>
        <bgColor indexed="51"/>
      </patternFill>
    </fill>
    <fill>
      <patternFill patternType="solid">
        <fgColor indexed="35"/>
        <bgColor indexed="35"/>
      </patternFill>
    </fill>
    <fill>
      <patternFill patternType="lightUp">
        <fgColor indexed="9"/>
        <bgColor indexed="24"/>
      </patternFill>
    </fill>
    <fill>
      <patternFill patternType="lightUp">
        <fgColor indexed="9"/>
        <bgColor indexed="12"/>
      </patternFill>
    </fill>
    <fill>
      <patternFill patternType="lightUp">
        <fgColor indexed="9"/>
        <bgColor indexed="57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3"/>
        <bgColor indexed="64"/>
      </patternFill>
    </fill>
    <fill>
      <patternFill patternType="solid">
        <fgColor indexed="45"/>
      </patternFill>
    </fill>
    <fill>
      <patternFill patternType="solid">
        <fgColor indexed="12"/>
      </patternFill>
    </fill>
    <fill>
      <patternFill patternType="solid">
        <fgColor indexed="10"/>
      </patternFill>
    </fill>
    <fill>
      <patternFill patternType="solid">
        <fgColor indexed="52"/>
      </patternFill>
    </fill>
    <fill>
      <patternFill patternType="solid">
        <fgColor indexed="53"/>
      </patternFill>
    </fill>
    <fill>
      <patternFill patternType="solid">
        <fgColor indexed="11"/>
      </patternFill>
    </fill>
    <fill>
      <patternFill patternType="lightUp">
        <fgColor indexed="48"/>
        <bgColor indexed="41"/>
      </patternFill>
    </fill>
    <fill>
      <patternFill patternType="solid">
        <fgColor indexed="58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23"/>
      </patternFill>
    </fill>
    <fill>
      <patternFill patternType="solid">
        <fgColor indexed="44"/>
      </patternFill>
    </fill>
    <fill>
      <patternFill patternType="solid">
        <fgColor indexed="49"/>
      </patternFill>
    </fill>
    <fill>
      <patternFill patternType="solid">
        <fgColor indexed="9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20"/>
      </patternFill>
    </fill>
    <fill>
      <patternFill patternType="solid">
        <fgColor indexed="42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65E2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AFA90"/>
        <bgColor indexed="64"/>
      </patternFill>
    </fill>
  </fills>
  <borders count="95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indexed="58"/>
      </bottom>
      <diagonal/>
    </border>
    <border>
      <left/>
      <right/>
      <top/>
      <bottom style="medium">
        <color indexed="58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17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58"/>
      </left>
      <right style="medium">
        <color indexed="58"/>
      </right>
      <top style="medium">
        <color indexed="58"/>
      </top>
      <bottom style="thin">
        <color indexed="5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/>
      <diagonal/>
    </border>
    <border>
      <left style="thick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94">
    <xf numFmtId="0" fontId="0" fillId="0" borderId="0"/>
    <xf numFmtId="0" fontId="33" fillId="9" borderId="0" applyNumberFormat="0" applyBorder="0" applyAlignment="0" applyProtection="0"/>
    <xf numFmtId="0" fontId="34" fillId="10" borderId="0" applyNumberFormat="0" applyBorder="0" applyAlignment="0" applyProtection="0"/>
    <xf numFmtId="0" fontId="34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4" fillId="14" borderId="0" applyNumberFormat="0" applyBorder="0" applyAlignment="0" applyProtection="0"/>
    <xf numFmtId="0" fontId="34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34" fillId="14" borderId="0" applyNumberFormat="0" applyBorder="0" applyAlignment="0" applyProtection="0"/>
    <xf numFmtId="0" fontId="34" fillId="22" borderId="0" applyNumberFormat="0" applyBorder="0" applyAlignment="0" applyProtection="0"/>
    <xf numFmtId="0" fontId="33" fillId="15" borderId="0" applyNumberFormat="0" applyBorder="0" applyAlignment="0" applyProtection="0"/>
    <xf numFmtId="0" fontId="33" fillId="12" borderId="0" applyNumberFormat="0" applyBorder="0" applyAlignment="0" applyProtection="0"/>
    <xf numFmtId="0" fontId="34" fillId="23" borderId="0" applyNumberFormat="0" applyBorder="0" applyAlignment="0" applyProtection="0"/>
    <xf numFmtId="0" fontId="34" fillId="24" borderId="0" applyNumberFormat="0" applyBorder="0" applyAlignment="0" applyProtection="0"/>
    <xf numFmtId="0" fontId="33" fillId="12" borderId="0" applyNumberFormat="0" applyBorder="0" applyAlignment="0" applyProtection="0"/>
    <xf numFmtId="0" fontId="33" fillId="25" borderId="0" applyNumberFormat="0" applyBorder="0" applyAlignment="0" applyProtection="0"/>
    <xf numFmtId="0" fontId="34" fillId="26" borderId="0" applyNumberFormat="0" applyBorder="0" applyAlignment="0" applyProtection="0"/>
    <xf numFmtId="0" fontId="34" fillId="27" borderId="0" applyNumberFormat="0" applyBorder="0" applyAlignment="0" applyProtection="0"/>
    <xf numFmtId="0" fontId="33" fillId="28" borderId="0" applyNumberFormat="0" applyBorder="0" applyAlignment="0" applyProtection="0"/>
    <xf numFmtId="0" fontId="35" fillId="26" borderId="0" applyNumberFormat="0" applyBorder="0" applyAlignment="0" applyProtection="0"/>
    <xf numFmtId="0" fontId="36" fillId="29" borderId="1" applyNumberFormat="0" applyAlignment="0" applyProtection="0"/>
    <xf numFmtId="0" fontId="38" fillId="30" borderId="0" applyNumberFormat="0" applyBorder="0" applyAlignment="0" applyProtection="0"/>
    <xf numFmtId="0" fontId="38" fillId="31" borderId="0" applyNumberFormat="0" applyBorder="0" applyAlignment="0" applyProtection="0"/>
    <xf numFmtId="0" fontId="38" fillId="32" borderId="0" applyNumberFormat="0" applyBorder="0" applyAlignment="0" applyProtection="0"/>
    <xf numFmtId="0" fontId="48" fillId="0" borderId="0" applyNumberFormat="0" applyFill="0" applyBorder="0" applyAlignment="0" applyProtection="0"/>
    <xf numFmtId="0" fontId="34" fillId="19" borderId="0" applyNumberFormat="0" applyBorder="0" applyAlignment="0" applyProtection="0"/>
    <xf numFmtId="0" fontId="39" fillId="0" borderId="2" applyNumberFormat="0" applyFill="0" applyAlignment="0" applyProtection="0"/>
    <xf numFmtId="0" fontId="40" fillId="0" borderId="3" applyNumberFormat="0" applyFill="0" applyAlignment="0" applyProtection="0"/>
    <xf numFmtId="0" fontId="41" fillId="0" borderId="4" applyNumberFormat="0" applyFill="0" applyAlignment="0" applyProtection="0"/>
    <xf numFmtId="0" fontId="41" fillId="0" borderId="0" applyNumberFormat="0" applyFill="0" applyBorder="0" applyAlignment="0" applyProtection="0"/>
    <xf numFmtId="0" fontId="37" fillId="21" borderId="5" applyNumberFormat="0" applyAlignment="0" applyProtection="0"/>
    <xf numFmtId="0" fontId="42" fillId="27" borderId="1" applyNumberFormat="0" applyAlignment="0" applyProtection="0"/>
    <xf numFmtId="0" fontId="43" fillId="0" borderId="6" applyNumberFormat="0" applyFill="0" applyAlignment="0" applyProtection="0"/>
    <xf numFmtId="0" fontId="43" fillId="27" borderId="0" applyNumberFormat="0" applyBorder="0" applyAlignment="0" applyProtection="0"/>
    <xf numFmtId="0" fontId="2" fillId="0" borderId="0"/>
    <xf numFmtId="0" fontId="2" fillId="0" borderId="0"/>
    <xf numFmtId="0" fontId="24" fillId="0" borderId="0"/>
    <xf numFmtId="0" fontId="52" fillId="0" borderId="0"/>
    <xf numFmtId="0" fontId="2" fillId="0" borderId="0"/>
    <xf numFmtId="0" fontId="23" fillId="0" borderId="0"/>
    <xf numFmtId="0" fontId="24" fillId="26" borderId="1" applyNumberFormat="0" applyFont="0" applyAlignment="0" applyProtection="0"/>
    <xf numFmtId="0" fontId="44" fillId="29" borderId="7" applyNumberFormat="0" applyAlignment="0" applyProtection="0"/>
    <xf numFmtId="4" fontId="26" fillId="35" borderId="1" applyNumberFormat="0" applyProtection="0">
      <alignment vertical="center"/>
    </xf>
    <xf numFmtId="4" fontId="26" fillId="35" borderId="1" applyNumberFormat="0" applyProtection="0">
      <alignment vertical="center"/>
    </xf>
    <xf numFmtId="4" fontId="26" fillId="35" borderId="1" applyNumberFormat="0" applyProtection="0">
      <alignment horizontal="left" vertical="center" indent="1"/>
    </xf>
    <xf numFmtId="0" fontId="29" fillId="33" borderId="8" applyNumberFormat="0" applyProtection="0">
      <alignment horizontal="left" vertical="top" indent="1"/>
    </xf>
    <xf numFmtId="4" fontId="25" fillId="36" borderId="1" applyNumberFormat="0" applyProtection="0">
      <alignment horizontal="right" vertical="center"/>
    </xf>
    <xf numFmtId="4" fontId="25" fillId="37" borderId="1" applyNumberFormat="0" applyProtection="0">
      <alignment horizontal="right" vertical="center"/>
    </xf>
    <xf numFmtId="4" fontId="25" fillId="38" borderId="9" applyNumberFormat="0" applyProtection="0">
      <alignment horizontal="right" vertical="center"/>
    </xf>
    <xf numFmtId="4" fontId="25" fillId="8" borderId="1" applyNumberFormat="0" applyProtection="0">
      <alignment horizontal="right" vertical="center"/>
    </xf>
    <xf numFmtId="4" fontId="25" fillId="39" borderId="1" applyNumberFormat="0" applyProtection="0">
      <alignment horizontal="right" vertical="center"/>
    </xf>
    <xf numFmtId="4" fontId="25" fillId="40" borderId="1" applyNumberFormat="0" applyProtection="0">
      <alignment horizontal="right" vertical="center"/>
    </xf>
    <xf numFmtId="4" fontId="25" fillId="6" borderId="1" applyNumberFormat="0" applyProtection="0">
      <alignment horizontal="right" vertical="center"/>
    </xf>
    <xf numFmtId="4" fontId="25" fillId="3" borderId="1" applyNumberFormat="0" applyProtection="0">
      <alignment horizontal="right" vertical="center"/>
    </xf>
    <xf numFmtId="4" fontId="25" fillId="41" borderId="1" applyNumberFormat="0" applyProtection="0">
      <alignment horizontal="right" vertical="center"/>
    </xf>
    <xf numFmtId="4" fontId="25" fillId="42" borderId="9" applyNumberFormat="0" applyProtection="0">
      <alignment horizontal="left" vertical="center" indent="1"/>
    </xf>
    <xf numFmtId="0" fontId="47" fillId="0" borderId="0"/>
    <xf numFmtId="0" fontId="47" fillId="0" borderId="0"/>
    <xf numFmtId="0" fontId="24" fillId="0" borderId="0">
      <alignment horizontal="left"/>
    </xf>
    <xf numFmtId="0" fontId="32" fillId="43" borderId="0"/>
    <xf numFmtId="4" fontId="28" fillId="7" borderId="9" applyNumberFormat="0" applyProtection="0">
      <alignment horizontal="left" vertical="center" indent="1"/>
    </xf>
    <xf numFmtId="4" fontId="28" fillId="7" borderId="9" applyNumberFormat="0" applyProtection="0">
      <alignment horizontal="left" vertical="center" indent="1"/>
    </xf>
    <xf numFmtId="4" fontId="25" fillId="44" borderId="1" applyNumberFormat="0" applyProtection="0">
      <alignment horizontal="right" vertical="center"/>
    </xf>
    <xf numFmtId="4" fontId="25" fillId="4" borderId="9" applyNumberFormat="0" applyProtection="0">
      <alignment horizontal="left" vertical="center" indent="1"/>
    </xf>
    <xf numFmtId="4" fontId="25" fillId="2" borderId="9" applyNumberFormat="0" applyProtection="0">
      <alignment horizontal="left" vertical="center" indent="1"/>
    </xf>
    <xf numFmtId="0" fontId="25" fillId="5" borderId="1" applyNumberFormat="0" applyProtection="0">
      <alignment horizontal="left" vertical="center" indent="1"/>
    </xf>
    <xf numFmtId="0" fontId="24" fillId="7" borderId="8" applyNumberFormat="0" applyProtection="0">
      <alignment horizontal="left" vertical="top" indent="1"/>
    </xf>
    <xf numFmtId="0" fontId="25" fillId="45" borderId="1" applyNumberFormat="0" applyProtection="0">
      <alignment horizontal="left" vertical="center" indent="1"/>
    </xf>
    <xf numFmtId="0" fontId="24" fillId="2" borderId="8" applyNumberFormat="0" applyProtection="0">
      <alignment horizontal="left" vertical="top" indent="1"/>
    </xf>
    <xf numFmtId="0" fontId="25" fillId="46" borderId="1" applyNumberFormat="0" applyProtection="0">
      <alignment horizontal="left" vertical="center" indent="1"/>
    </xf>
    <xf numFmtId="0" fontId="24" fillId="46" borderId="8" applyNumberFormat="0" applyProtection="0">
      <alignment horizontal="left" vertical="top" indent="1"/>
    </xf>
    <xf numFmtId="0" fontId="25" fillId="4" borderId="1" applyNumberFormat="0" applyProtection="0">
      <alignment horizontal="left" vertical="center" indent="1"/>
    </xf>
    <xf numFmtId="0" fontId="24" fillId="4" borderId="8" applyNumberFormat="0" applyProtection="0">
      <alignment horizontal="left" vertical="top" indent="1"/>
    </xf>
    <xf numFmtId="4" fontId="25" fillId="47" borderId="1" applyNumberFormat="0" applyProtection="0">
      <alignment horizontal="left" vertical="center" indent="1"/>
    </xf>
    <xf numFmtId="0" fontId="24" fillId="48" borderId="10" applyNumberFormat="0">
      <protection locked="0"/>
    </xf>
    <xf numFmtId="0" fontId="26" fillId="7" borderId="11" applyBorder="0"/>
    <xf numFmtId="4" fontId="27" fillId="34" borderId="8" applyNumberFormat="0" applyProtection="0">
      <alignment vertical="center"/>
    </xf>
    <xf numFmtId="4" fontId="46" fillId="49" borderId="12" applyNumberFormat="0" applyProtection="0">
      <alignment vertical="center"/>
    </xf>
    <xf numFmtId="4" fontId="27" fillId="5" borderId="8" applyNumberFormat="0" applyProtection="0">
      <alignment horizontal="left" vertical="center" indent="1"/>
    </xf>
    <xf numFmtId="0" fontId="27" fillId="34" borderId="8" applyNumberFormat="0" applyProtection="0">
      <alignment horizontal="left" vertical="top" indent="1"/>
    </xf>
    <xf numFmtId="4" fontId="25" fillId="0" borderId="1" applyNumberFormat="0" applyProtection="0">
      <alignment horizontal="right" vertical="center"/>
    </xf>
    <xf numFmtId="4" fontId="26" fillId="0" borderId="1" applyNumberFormat="0" applyProtection="0">
      <alignment horizontal="right" vertical="center"/>
    </xf>
    <xf numFmtId="4" fontId="25" fillId="47" borderId="1" applyNumberFormat="0" applyProtection="0">
      <alignment horizontal="left" vertical="center" indent="1"/>
    </xf>
    <xf numFmtId="0" fontId="27" fillId="2" borderId="8" applyNumberFormat="0" applyProtection="0">
      <alignment horizontal="left" vertical="top" indent="1"/>
    </xf>
    <xf numFmtId="4" fontId="30" fillId="50" borderId="9" applyNumberFormat="0" applyProtection="0">
      <alignment horizontal="left" vertical="center" indent="1"/>
    </xf>
    <xf numFmtId="0" fontId="25" fillId="51" borderId="12"/>
    <xf numFmtId="4" fontId="31" fillId="48" borderId="1" applyNumberFormat="0" applyProtection="0">
      <alignment horizontal="right" vertical="center"/>
    </xf>
    <xf numFmtId="0" fontId="45" fillId="0" borderId="0" applyNumberFormat="0" applyFill="0" applyBorder="0" applyAlignment="0" applyProtection="0"/>
  </cellStyleXfs>
  <cellXfs count="434">
    <xf numFmtId="0" fontId="0" fillId="0" borderId="0" xfId="0"/>
    <xf numFmtId="0" fontId="1" fillId="0" borderId="0" xfId="0" applyFont="1"/>
    <xf numFmtId="0" fontId="7" fillId="0" borderId="0" xfId="0" applyFont="1"/>
    <xf numFmtId="0" fontId="2" fillId="0" borderId="0" xfId="0" applyFont="1"/>
    <xf numFmtId="3" fontId="6" fillId="0" borderId="0" xfId="0" applyNumberFormat="1" applyFont="1"/>
    <xf numFmtId="0" fontId="1" fillId="0" borderId="13" xfId="0" applyFont="1" applyBorder="1"/>
    <xf numFmtId="0" fontId="8" fillId="0" borderId="0" xfId="0" applyFont="1"/>
    <xf numFmtId="3" fontId="8" fillId="0" borderId="0" xfId="0" applyNumberFormat="1" applyFont="1"/>
    <xf numFmtId="0" fontId="8" fillId="0" borderId="0" xfId="0" applyFont="1" applyAlignment="1">
      <alignment horizontal="center"/>
    </xf>
    <xf numFmtId="0" fontId="13" fillId="0" borderId="0" xfId="0" applyFont="1"/>
    <xf numFmtId="3" fontId="11" fillId="0" borderId="14" xfId="0" applyNumberFormat="1" applyFont="1" applyBorder="1"/>
    <xf numFmtId="3" fontId="11" fillId="0" borderId="15" xfId="0" applyNumberFormat="1" applyFont="1" applyBorder="1" applyAlignment="1">
      <alignment horizontal="center"/>
    </xf>
    <xf numFmtId="0" fontId="15" fillId="0" borderId="0" xfId="0" applyFont="1"/>
    <xf numFmtId="0" fontId="9" fillId="0" borderId="0" xfId="0" applyFont="1"/>
    <xf numFmtId="3" fontId="11" fillId="0" borderId="12" xfId="0" applyNumberFormat="1" applyFont="1" applyBorder="1"/>
    <xf numFmtId="0" fontId="17" fillId="0" borderId="0" xfId="0" applyFont="1"/>
    <xf numFmtId="0" fontId="14" fillId="0" borderId="0" xfId="0" applyFont="1"/>
    <xf numFmtId="3" fontId="13" fillId="0" borderId="0" xfId="0" applyNumberFormat="1" applyFont="1"/>
    <xf numFmtId="0" fontId="13" fillId="0" borderId="0" xfId="0" applyFont="1" applyAlignment="1">
      <alignment horizontal="center"/>
    </xf>
    <xf numFmtId="3" fontId="11" fillId="0" borderId="0" xfId="0" applyNumberFormat="1" applyFont="1"/>
    <xf numFmtId="3" fontId="11" fillId="0" borderId="16" xfId="0" applyNumberFormat="1" applyFont="1" applyBorder="1"/>
    <xf numFmtId="3" fontId="8" fillId="0" borderId="17" xfId="0" applyNumberFormat="1" applyFont="1" applyBorder="1"/>
    <xf numFmtId="3" fontId="8" fillId="0" borderId="18" xfId="0" applyNumberFormat="1" applyFont="1" applyBorder="1"/>
    <xf numFmtId="3" fontId="8" fillId="0" borderId="19" xfId="0" applyNumberFormat="1" applyFont="1" applyBorder="1"/>
    <xf numFmtId="3" fontId="11" fillId="0" borderId="20" xfId="0" applyNumberFormat="1" applyFont="1" applyBorder="1"/>
    <xf numFmtId="4" fontId="11" fillId="0" borderId="15" xfId="0" applyNumberFormat="1" applyFont="1" applyBorder="1"/>
    <xf numFmtId="4" fontId="11" fillId="0" borderId="22" xfId="0" applyNumberFormat="1" applyFont="1" applyBorder="1"/>
    <xf numFmtId="3" fontId="11" fillId="0" borderId="21" xfId="0" applyNumberFormat="1" applyFont="1" applyBorder="1" applyAlignment="1">
      <alignment horizontal="center"/>
    </xf>
    <xf numFmtId="3" fontId="9" fillId="52" borderId="23" xfId="0" applyNumberFormat="1" applyFont="1" applyFill="1" applyBorder="1" applyAlignment="1">
      <alignment horizontal="center"/>
    </xf>
    <xf numFmtId="3" fontId="16" fillId="52" borderId="24" xfId="0" applyNumberFormat="1" applyFont="1" applyFill="1" applyBorder="1" applyAlignment="1">
      <alignment horizontal="center"/>
    </xf>
    <xf numFmtId="3" fontId="9" fillId="52" borderId="24" xfId="0" applyNumberFormat="1" applyFont="1" applyFill="1" applyBorder="1" applyAlignment="1">
      <alignment horizontal="center"/>
    </xf>
    <xf numFmtId="3" fontId="9" fillId="52" borderId="24" xfId="0" applyNumberFormat="1" applyFont="1" applyFill="1" applyBorder="1" applyAlignment="1">
      <alignment horizontal="center" vertical="center" wrapText="1"/>
    </xf>
    <xf numFmtId="3" fontId="9" fillId="52" borderId="25" xfId="0" applyNumberFormat="1" applyFont="1" applyFill="1" applyBorder="1" applyAlignment="1">
      <alignment horizontal="center"/>
    </xf>
    <xf numFmtId="3" fontId="9" fillId="0" borderId="26" xfId="0" applyNumberFormat="1" applyFont="1" applyBorder="1" applyAlignment="1">
      <alignment horizontal="left"/>
    </xf>
    <xf numFmtId="3" fontId="9" fillId="0" borderId="24" xfId="0" applyNumberFormat="1" applyFont="1" applyBorder="1" applyAlignment="1">
      <alignment horizontal="left"/>
    </xf>
    <xf numFmtId="3" fontId="9" fillId="0" borderId="24" xfId="0" applyNumberFormat="1" applyFont="1" applyBorder="1"/>
    <xf numFmtId="3" fontId="9" fillId="0" borderId="27" xfId="0" applyNumberFormat="1" applyFont="1" applyBorder="1"/>
    <xf numFmtId="4" fontId="11" fillId="0" borderId="28" xfId="0" applyNumberFormat="1" applyFont="1" applyBorder="1"/>
    <xf numFmtId="4" fontId="11" fillId="0" borderId="29" xfId="0" applyNumberFormat="1" applyFont="1" applyBorder="1"/>
    <xf numFmtId="4" fontId="11" fillId="0" borderId="20" xfId="0" applyNumberFormat="1" applyFont="1" applyBorder="1"/>
    <xf numFmtId="4" fontId="11" fillId="0" borderId="16" xfId="0" applyNumberFormat="1" applyFont="1" applyBorder="1"/>
    <xf numFmtId="3" fontId="9" fillId="0" borderId="31" xfId="0" applyNumberFormat="1" applyFont="1" applyBorder="1" applyAlignment="1">
      <alignment horizontal="left"/>
    </xf>
    <xf numFmtId="3" fontId="9" fillId="0" borderId="32" xfId="0" applyNumberFormat="1" applyFont="1" applyBorder="1" applyAlignment="1">
      <alignment horizontal="left"/>
    </xf>
    <xf numFmtId="3" fontId="9" fillId="0" borderId="32" xfId="0" applyNumberFormat="1" applyFont="1" applyBorder="1"/>
    <xf numFmtId="3" fontId="9" fillId="0" borderId="33" xfId="0" applyNumberFormat="1" applyFont="1" applyBorder="1"/>
    <xf numFmtId="3" fontId="11" fillId="0" borderId="35" xfId="0" applyNumberFormat="1" applyFont="1" applyBorder="1" applyAlignment="1">
      <alignment horizontal="center"/>
    </xf>
    <xf numFmtId="3" fontId="9" fillId="0" borderId="23" xfId="0" applyNumberFormat="1" applyFont="1" applyBorder="1"/>
    <xf numFmtId="3" fontId="11" fillId="0" borderId="36" xfId="0" applyNumberFormat="1" applyFont="1" applyBorder="1"/>
    <xf numFmtId="3" fontId="11" fillId="0" borderId="37" xfId="0" applyNumberFormat="1" applyFont="1" applyBorder="1"/>
    <xf numFmtId="3" fontId="11" fillId="0" borderId="39" xfId="0" applyNumberFormat="1" applyFont="1" applyBorder="1"/>
    <xf numFmtId="3" fontId="11" fillId="0" borderId="40" xfId="0" applyNumberFormat="1" applyFont="1" applyBorder="1"/>
    <xf numFmtId="3" fontId="11" fillId="0" borderId="41" xfId="0" applyNumberFormat="1" applyFont="1" applyBorder="1"/>
    <xf numFmtId="4" fontId="11" fillId="0" borderId="41" xfId="0" applyNumberFormat="1" applyFont="1" applyBorder="1"/>
    <xf numFmtId="4" fontId="11" fillId="0" borderId="39" xfId="0" applyNumberFormat="1" applyFont="1" applyBorder="1"/>
    <xf numFmtId="3" fontId="9" fillId="0" borderId="42" xfId="0" applyNumberFormat="1" applyFont="1" applyBorder="1" applyAlignment="1">
      <alignment horizontal="center"/>
    </xf>
    <xf numFmtId="3" fontId="16" fillId="0" borderId="32" xfId="0" applyNumberFormat="1" applyFont="1" applyBorder="1" applyAlignment="1">
      <alignment horizontal="center"/>
    </xf>
    <xf numFmtId="3" fontId="9" fillId="0" borderId="32" xfId="0" applyNumberFormat="1" applyFont="1" applyBorder="1" applyAlignment="1">
      <alignment horizontal="center"/>
    </xf>
    <xf numFmtId="3" fontId="9" fillId="0" borderId="32" xfId="0" applyNumberFormat="1" applyFont="1" applyBorder="1" applyAlignment="1">
      <alignment horizontal="center" vertical="center" wrapText="1"/>
    </xf>
    <xf numFmtId="1" fontId="8" fillId="0" borderId="0" xfId="0" applyNumberFormat="1" applyFont="1"/>
    <xf numFmtId="3" fontId="8" fillId="0" borderId="0" xfId="0" applyNumberFormat="1" applyFont="1" applyAlignment="1">
      <alignment horizontal="center"/>
    </xf>
    <xf numFmtId="4" fontId="13" fillId="0" borderId="0" xfId="0" applyNumberFormat="1" applyFont="1"/>
    <xf numFmtId="4" fontId="8" fillId="0" borderId="0" xfId="0" applyNumberFormat="1" applyFont="1"/>
    <xf numFmtId="0" fontId="8" fillId="53" borderId="0" xfId="0" applyFont="1" applyFill="1"/>
    <xf numFmtId="0" fontId="53" fillId="54" borderId="0" xfId="0" applyFont="1" applyFill="1"/>
    <xf numFmtId="0" fontId="54" fillId="54" borderId="0" xfId="0" applyFont="1" applyFill="1"/>
    <xf numFmtId="3" fontId="12" fillId="55" borderId="43" xfId="0" applyNumberFormat="1" applyFont="1" applyFill="1" applyBorder="1" applyAlignment="1">
      <alignment horizontal="center"/>
    </xf>
    <xf numFmtId="3" fontId="12" fillId="55" borderId="44" xfId="0" applyNumberFormat="1" applyFont="1" applyFill="1" applyBorder="1" applyAlignment="1">
      <alignment horizontal="center"/>
    </xf>
    <xf numFmtId="3" fontId="12" fillId="55" borderId="45" xfId="0" applyNumberFormat="1" applyFont="1" applyFill="1" applyBorder="1" applyAlignment="1">
      <alignment horizontal="center"/>
    </xf>
    <xf numFmtId="3" fontId="12" fillId="55" borderId="29" xfId="0" applyNumberFormat="1" applyFont="1" applyFill="1" applyBorder="1" applyAlignment="1">
      <alignment horizontal="center"/>
    </xf>
    <xf numFmtId="3" fontId="12" fillId="55" borderId="22" xfId="0" applyNumberFormat="1" applyFont="1" applyFill="1" applyBorder="1" applyAlignment="1">
      <alignment horizontal="center"/>
    </xf>
    <xf numFmtId="3" fontId="12" fillId="55" borderId="46" xfId="0" applyNumberFormat="1" applyFont="1" applyFill="1" applyBorder="1" applyAlignment="1">
      <alignment horizontal="center"/>
    </xf>
    <xf numFmtId="3" fontId="21" fillId="0" borderId="0" xfId="0" applyNumberFormat="1" applyFont="1" applyAlignment="1">
      <alignment horizontal="center" vertical="center"/>
    </xf>
    <xf numFmtId="0" fontId="53" fillId="0" borderId="0" xfId="0" applyFont="1"/>
    <xf numFmtId="0" fontId="54" fillId="0" borderId="0" xfId="0" applyFont="1"/>
    <xf numFmtId="3" fontId="11" fillId="0" borderId="47" xfId="0" applyNumberFormat="1" applyFont="1" applyBorder="1" applyAlignment="1">
      <alignment horizontal="center"/>
    </xf>
    <xf numFmtId="3" fontId="55" fillId="0" borderId="28" xfId="0" applyNumberFormat="1" applyFont="1" applyBorder="1"/>
    <xf numFmtId="3" fontId="55" fillId="0" borderId="34" xfId="0" applyNumberFormat="1" applyFont="1" applyBorder="1"/>
    <xf numFmtId="3" fontId="55" fillId="0" borderId="35" xfId="0" applyNumberFormat="1" applyFont="1" applyBorder="1" applyAlignment="1">
      <alignment horizontal="center"/>
    </xf>
    <xf numFmtId="3" fontId="55" fillId="0" borderId="48" xfId="0" applyNumberFormat="1" applyFont="1" applyBorder="1"/>
    <xf numFmtId="3" fontId="6" fillId="53" borderId="34" xfId="0" applyNumberFormat="1" applyFont="1" applyFill="1" applyBorder="1"/>
    <xf numFmtId="3" fontId="4" fillId="53" borderId="22" xfId="0" applyNumberFormat="1" applyFont="1" applyFill="1" applyBorder="1"/>
    <xf numFmtId="3" fontId="55" fillId="53" borderId="35" xfId="0" applyNumberFormat="1" applyFont="1" applyFill="1" applyBorder="1" applyAlignment="1">
      <alignment horizontal="center"/>
    </xf>
    <xf numFmtId="3" fontId="55" fillId="53" borderId="34" xfId="0" applyNumberFormat="1" applyFont="1" applyFill="1" applyBorder="1"/>
    <xf numFmtId="3" fontId="6" fillId="53" borderId="50" xfId="0" applyNumberFormat="1" applyFont="1" applyFill="1" applyBorder="1"/>
    <xf numFmtId="3" fontId="4" fillId="53" borderId="51" xfId="0" applyNumberFormat="1" applyFont="1" applyFill="1" applyBorder="1" applyAlignment="1">
      <alignment horizontal="left"/>
    </xf>
    <xf numFmtId="3" fontId="4" fillId="53" borderId="22" xfId="0" applyNumberFormat="1" applyFont="1" applyFill="1" applyBorder="1" applyAlignment="1">
      <alignment horizontal="left"/>
    </xf>
    <xf numFmtId="3" fontId="4" fillId="53" borderId="52" xfId="0" applyNumberFormat="1" applyFont="1" applyFill="1" applyBorder="1" applyAlignment="1">
      <alignment horizontal="left"/>
    </xf>
    <xf numFmtId="3" fontId="3" fillId="53" borderId="52" xfId="0" applyNumberFormat="1" applyFont="1" applyFill="1" applyBorder="1" applyAlignment="1">
      <alignment horizontal="left"/>
    </xf>
    <xf numFmtId="3" fontId="4" fillId="53" borderId="51" xfId="0" applyNumberFormat="1" applyFont="1" applyFill="1" applyBorder="1"/>
    <xf numFmtId="3" fontId="4" fillId="53" borderId="51" xfId="0" applyNumberFormat="1" applyFont="1" applyFill="1" applyBorder="1" applyAlignment="1">
      <alignment horizontal="left" vertical="center" wrapText="1"/>
    </xf>
    <xf numFmtId="3" fontId="15" fillId="0" borderId="53" xfId="0" applyNumberFormat="1" applyFont="1" applyBorder="1" applyAlignment="1">
      <alignment horizontal="left"/>
    </xf>
    <xf numFmtId="3" fontId="55" fillId="53" borderId="28" xfId="0" applyNumberFormat="1" applyFont="1" applyFill="1" applyBorder="1"/>
    <xf numFmtId="3" fontId="11" fillId="53" borderId="12" xfId="0" applyNumberFormat="1" applyFont="1" applyFill="1" applyBorder="1"/>
    <xf numFmtId="3" fontId="11" fillId="53" borderId="35" xfId="0" applyNumberFormat="1" applyFont="1" applyFill="1" applyBorder="1" applyAlignment="1">
      <alignment horizontal="center"/>
    </xf>
    <xf numFmtId="3" fontId="9" fillId="0" borderId="31" xfId="0" applyNumberFormat="1" applyFont="1" applyBorder="1" applyAlignment="1">
      <alignment horizontal="left" vertical="center"/>
    </xf>
    <xf numFmtId="3" fontId="55" fillId="0" borderId="28" xfId="0" applyNumberFormat="1" applyFont="1" applyBorder="1" applyAlignment="1">
      <alignment vertical="center"/>
    </xf>
    <xf numFmtId="3" fontId="55" fillId="0" borderId="34" xfId="0" applyNumberFormat="1" applyFont="1" applyBorder="1" applyAlignment="1">
      <alignment vertical="center"/>
    </xf>
    <xf numFmtId="3" fontId="55" fillId="0" borderId="35" xfId="0" applyNumberFormat="1" applyFont="1" applyBorder="1" applyAlignment="1">
      <alignment horizontal="center" vertical="center"/>
    </xf>
    <xf numFmtId="3" fontId="11" fillId="0" borderId="20" xfId="0" applyNumberFormat="1" applyFont="1" applyBorder="1" applyAlignment="1">
      <alignment vertical="center"/>
    </xf>
    <xf numFmtId="3" fontId="11" fillId="0" borderId="12" xfId="0" applyNumberFormat="1" applyFont="1" applyBorder="1" applyAlignment="1">
      <alignment vertical="center"/>
    </xf>
    <xf numFmtId="3" fontId="11" fillId="0" borderId="0" xfId="0" applyNumberFormat="1" applyFont="1" applyAlignment="1">
      <alignment horizontal="center"/>
    </xf>
    <xf numFmtId="3" fontId="9" fillId="0" borderId="0" xfId="0" applyNumberFormat="1" applyFont="1" applyAlignment="1">
      <alignment horizontal="left" vertical="center"/>
    </xf>
    <xf numFmtId="3" fontId="55" fillId="0" borderId="16" xfId="0" applyNumberFormat="1" applyFont="1" applyBorder="1" applyAlignment="1">
      <alignment vertical="center"/>
    </xf>
    <xf numFmtId="3" fontId="55" fillId="0" borderId="48" xfId="0" applyNumberFormat="1" applyFont="1" applyBorder="1" applyAlignment="1">
      <alignment vertical="center"/>
    </xf>
    <xf numFmtId="3" fontId="55" fillId="0" borderId="47" xfId="0" applyNumberFormat="1" applyFont="1" applyBorder="1" applyAlignment="1">
      <alignment horizontal="center" vertical="center"/>
    </xf>
    <xf numFmtId="3" fontId="12" fillId="0" borderId="43" xfId="0" applyNumberFormat="1" applyFont="1" applyBorder="1" applyAlignment="1">
      <alignment horizontal="center" vertical="center"/>
    </xf>
    <xf numFmtId="3" fontId="12" fillId="0" borderId="29" xfId="0" applyNumberFormat="1" applyFont="1" applyBorder="1" applyAlignment="1">
      <alignment horizontal="left" vertical="center" indent="1"/>
    </xf>
    <xf numFmtId="3" fontId="12" fillId="0" borderId="29" xfId="0" applyNumberFormat="1" applyFont="1" applyBorder="1" applyAlignment="1">
      <alignment horizontal="left" vertical="center" wrapText="1" indent="1"/>
    </xf>
    <xf numFmtId="3" fontId="12" fillId="0" borderId="56" xfId="0" applyNumberFormat="1" applyFont="1" applyBorder="1" applyAlignment="1">
      <alignment horizontal="center" vertical="center"/>
    </xf>
    <xf numFmtId="3" fontId="12" fillId="0" borderId="24" xfId="0" applyNumberFormat="1" applyFont="1" applyBorder="1" applyAlignment="1">
      <alignment horizontal="left" vertical="center" indent="1"/>
    </xf>
    <xf numFmtId="3" fontId="12" fillId="0" borderId="49" xfId="0" applyNumberFormat="1" applyFont="1" applyBorder="1" applyAlignment="1">
      <alignment horizontal="center" vertical="center"/>
    </xf>
    <xf numFmtId="3" fontId="12" fillId="0" borderId="57" xfId="0" applyNumberFormat="1" applyFont="1" applyBorder="1" applyAlignment="1">
      <alignment horizontal="left" vertical="center" indent="1"/>
    </xf>
    <xf numFmtId="3" fontId="55" fillId="0" borderId="58" xfId="0" applyNumberFormat="1" applyFont="1" applyBorder="1" applyAlignment="1">
      <alignment vertical="center"/>
    </xf>
    <xf numFmtId="3" fontId="55" fillId="0" borderId="59" xfId="0" applyNumberFormat="1" applyFont="1" applyBorder="1" applyAlignment="1">
      <alignment vertical="center"/>
    </xf>
    <xf numFmtId="3" fontId="55" fillId="0" borderId="60" xfId="0" applyNumberFormat="1" applyFont="1" applyBorder="1" applyAlignment="1">
      <alignment horizontal="center" vertical="center"/>
    </xf>
    <xf numFmtId="3" fontId="12" fillId="0" borderId="27" xfId="0" applyNumberFormat="1" applyFont="1" applyBorder="1" applyAlignment="1">
      <alignment horizontal="center" vertical="center"/>
    </xf>
    <xf numFmtId="3" fontId="12" fillId="0" borderId="27" xfId="0" applyNumberFormat="1" applyFont="1" applyBorder="1" applyAlignment="1">
      <alignment horizontal="left" vertical="center" indent="1"/>
    </xf>
    <xf numFmtId="3" fontId="14" fillId="0" borderId="0" xfId="0" applyNumberFormat="1" applyFont="1"/>
    <xf numFmtId="3" fontId="56" fillId="0" borderId="0" xfId="0" applyNumberFormat="1" applyFont="1"/>
    <xf numFmtId="3" fontId="11" fillId="53" borderId="28" xfId="0" applyNumberFormat="1" applyFont="1" applyFill="1" applyBorder="1"/>
    <xf numFmtId="3" fontId="11" fillId="53" borderId="20" xfId="0" applyNumberFormat="1" applyFont="1" applyFill="1" applyBorder="1"/>
    <xf numFmtId="3" fontId="11" fillId="57" borderId="34" xfId="0" applyNumberFormat="1" applyFont="1" applyFill="1" applyBorder="1"/>
    <xf numFmtId="3" fontId="11" fillId="57" borderId="35" xfId="0" applyNumberFormat="1" applyFont="1" applyFill="1" applyBorder="1" applyAlignment="1">
      <alignment horizontal="center"/>
    </xf>
    <xf numFmtId="4" fontId="11" fillId="57" borderId="29" xfId="0" applyNumberFormat="1" applyFont="1" applyFill="1" applyBorder="1"/>
    <xf numFmtId="3" fontId="11" fillId="0" borderId="36" xfId="0" applyNumberFormat="1" applyFont="1" applyBorder="1" applyAlignment="1">
      <alignment vertical="center"/>
    </xf>
    <xf numFmtId="3" fontId="11" fillId="0" borderId="37" xfId="0" applyNumberFormat="1" applyFont="1" applyBorder="1" applyAlignment="1">
      <alignment vertical="center"/>
    </xf>
    <xf numFmtId="3" fontId="11" fillId="56" borderId="64" xfId="0" applyNumberFormat="1" applyFont="1" applyFill="1" applyBorder="1" applyAlignment="1">
      <alignment horizontal="center" vertical="center"/>
    </xf>
    <xf numFmtId="3" fontId="9" fillId="0" borderId="32" xfId="0" applyNumberFormat="1" applyFont="1" applyBorder="1" applyAlignment="1">
      <alignment horizontal="left" vertical="center"/>
    </xf>
    <xf numFmtId="3" fontId="9" fillId="0" borderId="69" xfId="0" applyNumberFormat="1" applyFont="1" applyBorder="1" applyAlignment="1">
      <alignment horizontal="left" vertical="center"/>
    </xf>
    <xf numFmtId="3" fontId="9" fillId="0" borderId="62" xfId="0" applyNumberFormat="1" applyFont="1" applyBorder="1" applyAlignment="1">
      <alignment horizontal="left" vertical="center"/>
    </xf>
    <xf numFmtId="3" fontId="11" fillId="0" borderId="58" xfId="0" applyNumberFormat="1" applyFont="1" applyBorder="1" applyAlignment="1">
      <alignment vertical="center"/>
    </xf>
    <xf numFmtId="3" fontId="11" fillId="0" borderId="59" xfId="0" applyNumberFormat="1" applyFont="1" applyBorder="1" applyAlignment="1">
      <alignment vertical="center"/>
    </xf>
    <xf numFmtId="3" fontId="12" fillId="56" borderId="27" xfId="0" applyNumberFormat="1" applyFont="1" applyFill="1" applyBorder="1" applyAlignment="1">
      <alignment horizontal="center" vertical="center"/>
    </xf>
    <xf numFmtId="3" fontId="57" fillId="56" borderId="19" xfId="0" applyNumberFormat="1" applyFont="1" applyFill="1" applyBorder="1" applyAlignment="1">
      <alignment horizontal="left" vertical="center" indent="1"/>
    </xf>
    <xf numFmtId="3" fontId="9" fillId="56" borderId="66" xfId="0" applyNumberFormat="1" applyFont="1" applyFill="1" applyBorder="1" applyAlignment="1">
      <alignment horizontal="center" vertical="center"/>
    </xf>
    <xf numFmtId="3" fontId="9" fillId="0" borderId="33" xfId="0" applyNumberFormat="1" applyFont="1" applyBorder="1" applyAlignment="1">
      <alignment horizontal="center" vertical="center"/>
    </xf>
    <xf numFmtId="3" fontId="4" fillId="53" borderId="70" xfId="0" applyNumberFormat="1" applyFont="1" applyFill="1" applyBorder="1" applyAlignment="1">
      <alignment horizontal="left"/>
    </xf>
    <xf numFmtId="3" fontId="11" fillId="58" borderId="34" xfId="0" applyNumberFormat="1" applyFont="1" applyFill="1" applyBorder="1"/>
    <xf numFmtId="3" fontId="12" fillId="55" borderId="71" xfId="0" applyNumberFormat="1" applyFont="1" applyFill="1" applyBorder="1" applyAlignment="1">
      <alignment horizontal="center"/>
    </xf>
    <xf numFmtId="3" fontId="12" fillId="55" borderId="38" xfId="0" applyNumberFormat="1" applyFont="1" applyFill="1" applyBorder="1" applyAlignment="1">
      <alignment horizontal="center"/>
    </xf>
    <xf numFmtId="3" fontId="11" fillId="58" borderId="12" xfId="0" applyNumberFormat="1" applyFont="1" applyFill="1" applyBorder="1"/>
    <xf numFmtId="3" fontId="12" fillId="55" borderId="72" xfId="0" applyNumberFormat="1" applyFont="1" applyFill="1" applyBorder="1" applyAlignment="1">
      <alignment horizontal="center"/>
    </xf>
    <xf numFmtId="3" fontId="12" fillId="55" borderId="19" xfId="0" applyNumberFormat="1" applyFont="1" applyFill="1" applyBorder="1" applyAlignment="1">
      <alignment horizontal="center"/>
    </xf>
    <xf numFmtId="3" fontId="5" fillId="0" borderId="73" xfId="0" applyNumberFormat="1" applyFont="1" applyBorder="1"/>
    <xf numFmtId="3" fontId="18" fillId="0" borderId="54" xfId="0" applyNumberFormat="1" applyFont="1" applyBorder="1"/>
    <xf numFmtId="3" fontId="55" fillId="58" borderId="28" xfId="0" applyNumberFormat="1" applyFont="1" applyFill="1" applyBorder="1"/>
    <xf numFmtId="3" fontId="11" fillId="58" borderId="28" xfId="0" applyNumberFormat="1" applyFont="1" applyFill="1" applyBorder="1"/>
    <xf numFmtId="3" fontId="55" fillId="0" borderId="76" xfId="0" applyNumberFormat="1" applyFont="1" applyBorder="1" applyAlignment="1">
      <alignment horizontal="center" vertical="center"/>
    </xf>
    <xf numFmtId="3" fontId="11" fillId="56" borderId="17" xfId="0" applyNumberFormat="1" applyFont="1" applyFill="1" applyBorder="1" applyAlignment="1">
      <alignment horizontal="center" vertical="center"/>
    </xf>
    <xf numFmtId="3" fontId="11" fillId="56" borderId="19" xfId="0" applyNumberFormat="1" applyFont="1" applyFill="1" applyBorder="1" applyAlignment="1">
      <alignment horizontal="center" vertical="center"/>
    </xf>
    <xf numFmtId="3" fontId="55" fillId="0" borderId="54" xfId="0" applyNumberFormat="1" applyFont="1" applyBorder="1" applyAlignment="1">
      <alignment vertical="center"/>
    </xf>
    <xf numFmtId="3" fontId="55" fillId="0" borderId="77" xfId="0" applyNumberFormat="1" applyFont="1" applyBorder="1" applyAlignment="1">
      <alignment horizontal="center" vertical="center"/>
    </xf>
    <xf numFmtId="3" fontId="11" fillId="56" borderId="18" xfId="0" applyNumberFormat="1" applyFont="1" applyFill="1" applyBorder="1" applyAlignment="1">
      <alignment horizontal="center" vertical="center"/>
    </xf>
    <xf numFmtId="3" fontId="11" fillId="0" borderId="79" xfId="0" applyNumberFormat="1" applyFont="1" applyBorder="1" applyAlignment="1">
      <alignment vertical="center"/>
    </xf>
    <xf numFmtId="3" fontId="11" fillId="0" borderId="74" xfId="0" applyNumberFormat="1" applyFont="1" applyBorder="1" applyAlignment="1">
      <alignment vertical="center"/>
    </xf>
    <xf numFmtId="3" fontId="55" fillId="58" borderId="34" xfId="0" applyNumberFormat="1" applyFont="1" applyFill="1" applyBorder="1" applyAlignment="1">
      <alignment vertical="center"/>
    </xf>
    <xf numFmtId="3" fontId="11" fillId="58" borderId="12" xfId="0" applyNumberFormat="1" applyFont="1" applyFill="1" applyBorder="1" applyAlignment="1">
      <alignment vertical="center"/>
    </xf>
    <xf numFmtId="3" fontId="55" fillId="58" borderId="28" xfId="0" applyNumberFormat="1" applyFont="1" applyFill="1" applyBorder="1" applyAlignment="1">
      <alignment vertical="center"/>
    </xf>
    <xf numFmtId="3" fontId="55" fillId="58" borderId="34" xfId="0" applyNumberFormat="1" applyFont="1" applyFill="1" applyBorder="1"/>
    <xf numFmtId="3" fontId="11" fillId="58" borderId="20" xfId="0" applyNumberFormat="1" applyFont="1" applyFill="1" applyBorder="1"/>
    <xf numFmtId="0" fontId="56" fillId="0" borderId="0" xfId="0" applyFont="1"/>
    <xf numFmtId="0" fontId="58" fillId="0" borderId="0" xfId="0" applyFont="1"/>
    <xf numFmtId="0" fontId="59" fillId="0" borderId="0" xfId="0" applyFont="1"/>
    <xf numFmtId="0" fontId="60" fillId="0" borderId="0" xfId="0" applyFont="1"/>
    <xf numFmtId="0" fontId="61" fillId="0" borderId="0" xfId="0" applyFont="1"/>
    <xf numFmtId="3" fontId="60" fillId="0" borderId="0" xfId="0" applyNumberFormat="1" applyFont="1"/>
    <xf numFmtId="3" fontId="62" fillId="0" borderId="0" xfId="0" applyNumberFormat="1" applyFont="1"/>
    <xf numFmtId="4" fontId="60" fillId="0" borderId="0" xfId="0" applyNumberFormat="1" applyFont="1"/>
    <xf numFmtId="0" fontId="63" fillId="0" borderId="0" xfId="0" applyFont="1"/>
    <xf numFmtId="3" fontId="63" fillId="0" borderId="0" xfId="0" applyNumberFormat="1" applyFont="1"/>
    <xf numFmtId="0" fontId="62" fillId="0" borderId="0" xfId="0" applyFont="1"/>
    <xf numFmtId="3" fontId="64" fillId="0" borderId="18" xfId="0" applyNumberFormat="1" applyFont="1" applyBorder="1"/>
    <xf numFmtId="0" fontId="64" fillId="0" borderId="0" xfId="0" applyFont="1"/>
    <xf numFmtId="3" fontId="64" fillId="0" borderId="0" xfId="0" applyNumberFormat="1" applyFont="1"/>
    <xf numFmtId="3" fontId="65" fillId="0" borderId="0" xfId="0" applyNumberFormat="1" applyFont="1"/>
    <xf numFmtId="0" fontId="65" fillId="0" borderId="0" xfId="0" applyFont="1"/>
    <xf numFmtId="3" fontId="55" fillId="0" borderId="40" xfId="0" applyNumberFormat="1" applyFont="1" applyBorder="1"/>
    <xf numFmtId="4" fontId="55" fillId="0" borderId="28" xfId="0" applyNumberFormat="1" applyFont="1" applyBorder="1"/>
    <xf numFmtId="3" fontId="55" fillId="0" borderId="41" xfId="0" applyNumberFormat="1" applyFont="1" applyBorder="1"/>
    <xf numFmtId="3" fontId="55" fillId="0" borderId="39" xfId="0" applyNumberFormat="1" applyFont="1" applyBorder="1"/>
    <xf numFmtId="3" fontId="55" fillId="0" borderId="15" xfId="0" applyNumberFormat="1" applyFont="1" applyBorder="1" applyAlignment="1">
      <alignment horizontal="center"/>
    </xf>
    <xf numFmtId="3" fontId="55" fillId="0" borderId="16" xfId="0" applyNumberFormat="1" applyFont="1" applyBorder="1"/>
    <xf numFmtId="3" fontId="66" fillId="0" borderId="18" xfId="0" applyNumberFormat="1" applyFont="1" applyBorder="1"/>
    <xf numFmtId="3" fontId="66" fillId="0" borderId="17" xfId="0" applyNumberFormat="1" applyFont="1" applyBorder="1"/>
    <xf numFmtId="0" fontId="68" fillId="0" borderId="0" xfId="0" applyFont="1"/>
    <xf numFmtId="3" fontId="69" fillId="53" borderId="34" xfId="0" applyNumberFormat="1" applyFont="1" applyFill="1" applyBorder="1"/>
    <xf numFmtId="3" fontId="69" fillId="53" borderId="12" xfId="0" applyNumberFormat="1" applyFont="1" applyFill="1" applyBorder="1"/>
    <xf numFmtId="3" fontId="11" fillId="0" borderId="48" xfId="0" applyNumberFormat="1" applyFont="1" applyBorder="1"/>
    <xf numFmtId="3" fontId="11" fillId="0" borderId="62" xfId="0" applyNumberFormat="1" applyFont="1" applyBorder="1"/>
    <xf numFmtId="3" fontId="8" fillId="0" borderId="80" xfId="0" applyNumberFormat="1" applyFont="1" applyBorder="1"/>
    <xf numFmtId="3" fontId="8" fillId="0" borderId="55" xfId="0" applyNumberFormat="1" applyFont="1" applyBorder="1"/>
    <xf numFmtId="0" fontId="1" fillId="0" borderId="67" xfId="0" applyFont="1" applyBorder="1" applyAlignment="1">
      <alignment vertical="center"/>
    </xf>
    <xf numFmtId="0" fontId="1" fillId="0" borderId="0" xfId="0" applyFont="1" applyAlignment="1">
      <alignment vertical="center"/>
    </xf>
    <xf numFmtId="3" fontId="5" fillId="0" borderId="82" xfId="0" applyNumberFormat="1" applyFont="1" applyBorder="1"/>
    <xf numFmtId="3" fontId="18" fillId="0" borderId="48" xfId="0" applyNumberFormat="1" applyFont="1" applyBorder="1"/>
    <xf numFmtId="3" fontId="55" fillId="0" borderId="47" xfId="0" applyNumberFormat="1" applyFont="1" applyBorder="1" applyAlignment="1">
      <alignment horizontal="center"/>
    </xf>
    <xf numFmtId="3" fontId="69" fillId="53" borderId="20" xfId="0" applyNumberFormat="1" applyFont="1" applyFill="1" applyBorder="1"/>
    <xf numFmtId="3" fontId="6" fillId="53" borderId="31" xfId="0" applyNumberFormat="1" applyFont="1" applyFill="1" applyBorder="1"/>
    <xf numFmtId="3" fontId="69" fillId="53" borderId="28" xfId="0" applyNumberFormat="1" applyFont="1" applyFill="1" applyBorder="1"/>
    <xf numFmtId="3" fontId="6" fillId="0" borderId="54" xfId="0" applyNumberFormat="1" applyFont="1" applyBorder="1"/>
    <xf numFmtId="3" fontId="69" fillId="0" borderId="54" xfId="0" applyNumberFormat="1" applyFont="1" applyBorder="1"/>
    <xf numFmtId="3" fontId="70" fillId="0" borderId="74" xfId="0" applyNumberFormat="1" applyFont="1" applyBorder="1"/>
    <xf numFmtId="3" fontId="70" fillId="0" borderId="73" xfId="0" applyNumberFormat="1" applyFont="1" applyBorder="1"/>
    <xf numFmtId="3" fontId="6" fillId="53" borderId="59" xfId="0" applyNumberFormat="1" applyFont="1" applyFill="1" applyBorder="1"/>
    <xf numFmtId="3" fontId="6" fillId="53" borderId="69" xfId="0" applyNumberFormat="1" applyFont="1" applyFill="1" applyBorder="1"/>
    <xf numFmtId="3" fontId="69" fillId="53" borderId="59" xfId="0" applyNumberFormat="1" applyFont="1" applyFill="1" applyBorder="1"/>
    <xf numFmtId="3" fontId="69" fillId="53" borderId="58" xfId="0" applyNumberFormat="1" applyFont="1" applyFill="1" applyBorder="1"/>
    <xf numFmtId="3" fontId="70" fillId="0" borderId="79" xfId="0" applyNumberFormat="1" applyFont="1" applyBorder="1"/>
    <xf numFmtId="3" fontId="5" fillId="0" borderId="36" xfId="0" applyNumberFormat="1" applyFont="1" applyBorder="1"/>
    <xf numFmtId="3" fontId="6" fillId="0" borderId="48" xfId="0" applyNumberFormat="1" applyFont="1" applyBorder="1"/>
    <xf numFmtId="3" fontId="69" fillId="0" borderId="48" xfId="0" applyNumberFormat="1" applyFont="1" applyBorder="1"/>
    <xf numFmtId="3" fontId="70" fillId="0" borderId="37" xfId="0" applyNumberFormat="1" applyFont="1" applyBorder="1"/>
    <xf numFmtId="3" fontId="70" fillId="0" borderId="36" xfId="0" applyNumberFormat="1" applyFont="1" applyBorder="1"/>
    <xf numFmtId="3" fontId="6" fillId="0" borderId="30" xfId="0" applyNumberFormat="1" applyFont="1" applyBorder="1"/>
    <xf numFmtId="3" fontId="71" fillId="0" borderId="48" xfId="0" applyNumberFormat="1" applyFont="1" applyBorder="1"/>
    <xf numFmtId="3" fontId="6" fillId="53" borderId="76" xfId="0" applyNumberFormat="1" applyFont="1" applyFill="1" applyBorder="1"/>
    <xf numFmtId="3" fontId="71" fillId="0" borderId="54" xfId="0" applyNumberFormat="1" applyFont="1" applyBorder="1"/>
    <xf numFmtId="3" fontId="18" fillId="58" borderId="73" xfId="0" applyNumberFormat="1" applyFont="1" applyFill="1" applyBorder="1"/>
    <xf numFmtId="3" fontId="18" fillId="58" borderId="54" xfId="0" applyNumberFormat="1" applyFont="1" applyFill="1" applyBorder="1"/>
    <xf numFmtId="3" fontId="72" fillId="0" borderId="36" xfId="0" applyNumberFormat="1" applyFont="1" applyBorder="1"/>
    <xf numFmtId="3" fontId="72" fillId="0" borderId="48" xfId="0" applyNumberFormat="1" applyFont="1" applyBorder="1"/>
    <xf numFmtId="3" fontId="71" fillId="0" borderId="36" xfId="0" applyNumberFormat="1" applyFont="1" applyBorder="1"/>
    <xf numFmtId="3" fontId="18" fillId="58" borderId="82" xfId="0" applyNumberFormat="1" applyFont="1" applyFill="1" applyBorder="1"/>
    <xf numFmtId="3" fontId="18" fillId="58" borderId="48" xfId="0" applyNumberFormat="1" applyFont="1" applyFill="1" applyBorder="1"/>
    <xf numFmtId="3" fontId="11" fillId="0" borderId="32" xfId="0" applyNumberFormat="1" applyFont="1" applyBorder="1"/>
    <xf numFmtId="3" fontId="11" fillId="0" borderId="88" xfId="0" applyNumberFormat="1" applyFont="1" applyBorder="1"/>
    <xf numFmtId="3" fontId="73" fillId="54" borderId="62" xfId="0" applyNumberFormat="1" applyFont="1" applyFill="1" applyBorder="1" applyAlignment="1">
      <alignment horizontal="center" vertical="center"/>
    </xf>
    <xf numFmtId="3" fontId="73" fillId="54" borderId="80" xfId="0" applyNumberFormat="1" applyFont="1" applyFill="1" applyBorder="1" applyAlignment="1">
      <alignment horizontal="center" vertical="center"/>
    </xf>
    <xf numFmtId="3" fontId="49" fillId="0" borderId="0" xfId="0" applyNumberFormat="1" applyFont="1"/>
    <xf numFmtId="3" fontId="55" fillId="0" borderId="61" xfId="0" applyNumberFormat="1" applyFont="1" applyBorder="1" applyAlignment="1">
      <alignment horizontal="center" vertical="center"/>
    </xf>
    <xf numFmtId="3" fontId="11" fillId="56" borderId="33" xfId="0" applyNumberFormat="1" applyFont="1" applyFill="1" applyBorder="1" applyAlignment="1">
      <alignment horizontal="center" vertical="center"/>
    </xf>
    <xf numFmtId="3" fontId="11" fillId="56" borderId="77" xfId="0" applyNumberFormat="1" applyFont="1" applyFill="1" applyBorder="1" applyAlignment="1">
      <alignment horizontal="center" vertical="center"/>
    </xf>
    <xf numFmtId="3" fontId="11" fillId="56" borderId="54" xfId="0" applyNumberFormat="1" applyFont="1" applyFill="1" applyBorder="1" applyAlignment="1">
      <alignment horizontal="center" vertical="center"/>
    </xf>
    <xf numFmtId="3" fontId="11" fillId="56" borderId="80" xfId="0" applyNumberFormat="1" applyFont="1" applyFill="1" applyBorder="1" applyAlignment="1">
      <alignment horizontal="center" vertical="center"/>
    </xf>
    <xf numFmtId="3" fontId="55" fillId="0" borderId="55" xfId="0" applyNumberFormat="1" applyFont="1" applyBorder="1" applyAlignment="1">
      <alignment horizontal="center" vertical="center"/>
    </xf>
    <xf numFmtId="3" fontId="6" fillId="53" borderId="30" xfId="0" applyNumberFormat="1" applyFont="1" applyFill="1" applyBorder="1"/>
    <xf numFmtId="3" fontId="5" fillId="0" borderId="83" xfId="0" applyNumberFormat="1" applyFont="1" applyBorder="1"/>
    <xf numFmtId="3" fontId="6" fillId="53" borderId="61" xfId="0" applyNumberFormat="1" applyFont="1" applyFill="1" applyBorder="1"/>
    <xf numFmtId="3" fontId="69" fillId="53" borderId="30" xfId="0" applyNumberFormat="1" applyFont="1" applyFill="1" applyBorder="1"/>
    <xf numFmtId="3" fontId="71" fillId="0" borderId="85" xfId="0" applyNumberFormat="1" applyFont="1" applyBorder="1"/>
    <xf numFmtId="3" fontId="69" fillId="53" borderId="76" xfId="0" applyNumberFormat="1" applyFont="1" applyFill="1" applyBorder="1"/>
    <xf numFmtId="3" fontId="18" fillId="58" borderId="83" xfId="0" applyNumberFormat="1" applyFont="1" applyFill="1" applyBorder="1"/>
    <xf numFmtId="3" fontId="69" fillId="53" borderId="61" xfId="0" applyNumberFormat="1" applyFont="1" applyFill="1" applyBorder="1"/>
    <xf numFmtId="3" fontId="18" fillId="58" borderId="85" xfId="0" applyNumberFormat="1" applyFont="1" applyFill="1" applyBorder="1"/>
    <xf numFmtId="3" fontId="72" fillId="0" borderId="85" xfId="0" applyNumberFormat="1" applyFont="1" applyBorder="1"/>
    <xf numFmtId="3" fontId="9" fillId="58" borderId="31" xfId="0" applyNumberFormat="1" applyFont="1" applyFill="1" applyBorder="1" applyAlignment="1">
      <alignment horizontal="left"/>
    </xf>
    <xf numFmtId="3" fontId="55" fillId="58" borderId="35" xfId="0" applyNumberFormat="1" applyFont="1" applyFill="1" applyBorder="1" applyAlignment="1">
      <alignment horizontal="center"/>
    </xf>
    <xf numFmtId="3" fontId="11" fillId="58" borderId="35" xfId="0" applyNumberFormat="1" applyFont="1" applyFill="1" applyBorder="1" applyAlignment="1">
      <alignment horizontal="center"/>
    </xf>
    <xf numFmtId="3" fontId="11" fillId="58" borderId="36" xfId="0" applyNumberFormat="1" applyFont="1" applyFill="1" applyBorder="1"/>
    <xf numFmtId="3" fontId="11" fillId="58" borderId="37" xfId="0" applyNumberFormat="1" applyFont="1" applyFill="1" applyBorder="1"/>
    <xf numFmtId="3" fontId="9" fillId="58" borderId="32" xfId="0" applyNumberFormat="1" applyFont="1" applyFill="1" applyBorder="1" applyAlignment="1">
      <alignment horizontal="left"/>
    </xf>
    <xf numFmtId="0" fontId="50" fillId="0" borderId="0" xfId="0" applyFont="1"/>
    <xf numFmtId="4" fontId="50" fillId="0" borderId="0" xfId="0" applyNumberFormat="1" applyFont="1"/>
    <xf numFmtId="3" fontId="16" fillId="0" borderId="26" xfId="0" applyNumberFormat="1" applyFont="1" applyBorder="1" applyAlignment="1">
      <alignment horizontal="left"/>
    </xf>
    <xf numFmtId="3" fontId="16" fillId="53" borderId="78" xfId="0" applyNumberFormat="1" applyFont="1" applyFill="1" applyBorder="1" applyAlignment="1">
      <alignment horizontal="left"/>
    </xf>
    <xf numFmtId="3" fontId="55" fillId="53" borderId="17" xfId="0" applyNumberFormat="1" applyFont="1" applyFill="1" applyBorder="1"/>
    <xf numFmtId="3" fontId="55" fillId="53" borderId="54" xfId="0" applyNumberFormat="1" applyFont="1" applyFill="1" applyBorder="1"/>
    <xf numFmtId="3" fontId="55" fillId="53" borderId="55" xfId="0" applyNumberFormat="1" applyFont="1" applyFill="1" applyBorder="1" applyAlignment="1">
      <alignment horizontal="center"/>
    </xf>
    <xf numFmtId="3" fontId="51" fillId="0" borderId="26" xfId="0" applyNumberFormat="1" applyFont="1" applyBorder="1" applyAlignment="1">
      <alignment horizontal="left"/>
    </xf>
    <xf numFmtId="3" fontId="16" fillId="53" borderId="86" xfId="0" applyNumberFormat="1" applyFont="1" applyFill="1" applyBorder="1" applyAlignment="1">
      <alignment horizontal="left"/>
    </xf>
    <xf numFmtId="3" fontId="55" fillId="58" borderId="16" xfId="0" applyNumberFormat="1" applyFont="1" applyFill="1" applyBorder="1"/>
    <xf numFmtId="3" fontId="55" fillId="58" borderId="15" xfId="0" applyNumberFormat="1" applyFont="1" applyFill="1" applyBorder="1" applyAlignment="1">
      <alignment horizontal="center"/>
    </xf>
    <xf numFmtId="3" fontId="55" fillId="58" borderId="0" xfId="0" applyNumberFormat="1" applyFont="1" applyFill="1"/>
    <xf numFmtId="3" fontId="55" fillId="0" borderId="32" xfId="0" applyNumberFormat="1" applyFont="1" applyBorder="1"/>
    <xf numFmtId="3" fontId="5" fillId="0" borderId="85" xfId="0" applyNumberFormat="1" applyFont="1" applyBorder="1"/>
    <xf numFmtId="3" fontId="70" fillId="0" borderId="84" xfId="0" applyNumberFormat="1" applyFont="1" applyBorder="1" applyAlignment="1">
      <alignment vertical="center"/>
    </xf>
    <xf numFmtId="0" fontId="74" fillId="0" borderId="0" xfId="0" applyFont="1"/>
    <xf numFmtId="3" fontId="11" fillId="56" borderId="87" xfId="0" applyNumberFormat="1" applyFont="1" applyFill="1" applyBorder="1" applyAlignment="1">
      <alignment horizontal="center" vertical="center"/>
    </xf>
    <xf numFmtId="3" fontId="11" fillId="56" borderId="89" xfId="0" applyNumberFormat="1" applyFont="1" applyFill="1" applyBorder="1" applyAlignment="1">
      <alignment horizontal="center" vertical="center"/>
    </xf>
    <xf numFmtId="3" fontId="9" fillId="0" borderId="15" xfId="0" applyNumberFormat="1" applyFont="1" applyBorder="1" applyAlignment="1">
      <alignment horizontal="left"/>
    </xf>
    <xf numFmtId="3" fontId="51" fillId="0" borderId="12" xfId="0" applyNumberFormat="1" applyFont="1" applyBorder="1" applyAlignment="1">
      <alignment horizontal="left"/>
    </xf>
    <xf numFmtId="3" fontId="5" fillId="58" borderId="63" xfId="0" applyNumberFormat="1" applyFont="1" applyFill="1" applyBorder="1" applyAlignment="1">
      <alignment vertical="center"/>
    </xf>
    <xf numFmtId="3" fontId="5" fillId="58" borderId="68" xfId="0" applyNumberFormat="1" applyFont="1" applyFill="1" applyBorder="1" applyAlignment="1">
      <alignment vertical="center"/>
    </xf>
    <xf numFmtId="3" fontId="5" fillId="58" borderId="89" xfId="0" applyNumberFormat="1" applyFont="1" applyFill="1" applyBorder="1" applyAlignment="1">
      <alignment vertical="center"/>
    </xf>
    <xf numFmtId="3" fontId="70" fillId="58" borderId="84" xfId="0" applyNumberFormat="1" applyFont="1" applyFill="1" applyBorder="1" applyAlignment="1">
      <alignment vertical="center"/>
    </xf>
    <xf numFmtId="3" fontId="55" fillId="59" borderId="31" xfId="0" applyNumberFormat="1" applyFont="1" applyFill="1" applyBorder="1" applyAlignment="1">
      <alignment vertical="center"/>
    </xf>
    <xf numFmtId="3" fontId="11" fillId="59" borderId="12" xfId="0" applyNumberFormat="1" applyFont="1" applyFill="1" applyBorder="1" applyAlignment="1">
      <alignment vertical="center"/>
    </xf>
    <xf numFmtId="3" fontId="75" fillId="0" borderId="0" xfId="0" applyNumberFormat="1" applyFont="1"/>
    <xf numFmtId="4" fontId="62" fillId="0" borderId="0" xfId="0" applyNumberFormat="1" applyFont="1"/>
    <xf numFmtId="3" fontId="11" fillId="56" borderId="68" xfId="0" applyNumberFormat="1" applyFont="1" applyFill="1" applyBorder="1" applyAlignment="1">
      <alignment horizontal="right" vertical="center"/>
    </xf>
    <xf numFmtId="3" fontId="55" fillId="0" borderId="34" xfId="0" applyNumberFormat="1" applyFont="1" applyBorder="1" applyAlignment="1">
      <alignment horizontal="right" vertical="center"/>
    </xf>
    <xf numFmtId="3" fontId="55" fillId="58" borderId="34" xfId="0" applyNumberFormat="1" applyFont="1" applyFill="1" applyBorder="1" applyAlignment="1">
      <alignment horizontal="right" vertical="center"/>
    </xf>
    <xf numFmtId="3" fontId="55" fillId="0" borderId="48" xfId="0" applyNumberFormat="1" applyFont="1" applyBorder="1" applyAlignment="1">
      <alignment horizontal="right" vertical="center"/>
    </xf>
    <xf numFmtId="3" fontId="55" fillId="0" borderId="59" xfId="0" applyNumberFormat="1" applyFont="1" applyBorder="1" applyAlignment="1">
      <alignment horizontal="right" vertical="center"/>
    </xf>
    <xf numFmtId="3" fontId="16" fillId="60" borderId="24" xfId="0" applyNumberFormat="1" applyFont="1" applyFill="1" applyBorder="1" applyAlignment="1">
      <alignment horizontal="left"/>
    </xf>
    <xf numFmtId="3" fontId="55" fillId="60" borderId="34" xfId="0" applyNumberFormat="1" applyFont="1" applyFill="1" applyBorder="1"/>
    <xf numFmtId="3" fontId="55" fillId="60" borderId="48" xfId="0" applyNumberFormat="1" applyFont="1" applyFill="1" applyBorder="1"/>
    <xf numFmtId="3" fontId="55" fillId="0" borderId="58" xfId="0" applyNumberFormat="1" applyFont="1" applyBorder="1"/>
    <xf numFmtId="3" fontId="55" fillId="0" borderId="59" xfId="0" applyNumberFormat="1" applyFont="1" applyBorder="1"/>
    <xf numFmtId="3" fontId="55" fillId="0" borderId="60" xfId="0" applyNumberFormat="1" applyFont="1" applyBorder="1" applyAlignment="1">
      <alignment horizontal="center"/>
    </xf>
    <xf numFmtId="3" fontId="55" fillId="0" borderId="60" xfId="0" applyNumberFormat="1" applyFont="1" applyBorder="1"/>
    <xf numFmtId="3" fontId="55" fillId="60" borderId="35" xfId="0" applyNumberFormat="1" applyFont="1" applyFill="1" applyBorder="1"/>
    <xf numFmtId="3" fontId="55" fillId="0" borderId="35" xfId="0" applyNumberFormat="1" applyFont="1" applyBorder="1"/>
    <xf numFmtId="3" fontId="55" fillId="53" borderId="55" xfId="0" applyNumberFormat="1" applyFont="1" applyFill="1" applyBorder="1"/>
    <xf numFmtId="3" fontId="55" fillId="53" borderId="47" xfId="0" applyNumberFormat="1" applyFont="1" applyFill="1" applyBorder="1" applyAlignment="1">
      <alignment horizontal="center"/>
    </xf>
    <xf numFmtId="4" fontId="55" fillId="0" borderId="34" xfId="0" applyNumberFormat="1" applyFont="1" applyBorder="1"/>
    <xf numFmtId="4" fontId="11" fillId="0" borderId="40" xfId="0" applyNumberFormat="1" applyFont="1" applyBorder="1"/>
    <xf numFmtId="4" fontId="11" fillId="0" borderId="12" xfId="0" applyNumberFormat="1" applyFont="1" applyBorder="1"/>
    <xf numFmtId="3" fontId="11" fillId="0" borderId="81" xfId="0" applyNumberFormat="1" applyFont="1" applyBorder="1"/>
    <xf numFmtId="3" fontId="55" fillId="53" borderId="75" xfId="0" applyNumberFormat="1" applyFont="1" applyFill="1" applyBorder="1" applyAlignment="1">
      <alignment horizontal="center"/>
    </xf>
    <xf numFmtId="4" fontId="55" fillId="60" borderId="34" xfId="0" applyNumberFormat="1" applyFont="1" applyFill="1" applyBorder="1"/>
    <xf numFmtId="3" fontId="8" fillId="57" borderId="93" xfId="0" applyNumberFormat="1" applyFont="1" applyFill="1" applyBorder="1" applyAlignment="1">
      <alignment horizontal="center" vertical="center"/>
    </xf>
    <xf numFmtId="3" fontId="8" fillId="57" borderId="54" xfId="0" applyNumberFormat="1" applyFont="1" applyFill="1" applyBorder="1" applyAlignment="1">
      <alignment horizontal="center" vertical="center"/>
    </xf>
    <xf numFmtId="3" fontId="8" fillId="57" borderId="93" xfId="0" applyNumberFormat="1" applyFont="1" applyFill="1" applyBorder="1" applyAlignment="1">
      <alignment horizontal="center" vertical="center" wrapText="1"/>
    </xf>
    <xf numFmtId="3" fontId="8" fillId="57" borderId="54" xfId="0" applyNumberFormat="1" applyFont="1" applyFill="1" applyBorder="1" applyAlignment="1">
      <alignment horizontal="center" vertical="center" wrapText="1"/>
    </xf>
    <xf numFmtId="3" fontId="8" fillId="57" borderId="48" xfId="0" applyNumberFormat="1" applyFont="1" applyFill="1" applyBorder="1" applyAlignment="1">
      <alignment horizontal="center" vertical="center"/>
    </xf>
    <xf numFmtId="3" fontId="8" fillId="57" borderId="48" xfId="0" applyNumberFormat="1" applyFont="1" applyFill="1" applyBorder="1" applyAlignment="1">
      <alignment horizontal="center" vertical="center" wrapText="1"/>
    </xf>
    <xf numFmtId="3" fontId="8" fillId="57" borderId="81" xfId="0" applyNumberFormat="1" applyFont="1" applyFill="1" applyBorder="1" applyAlignment="1">
      <alignment horizontal="center" vertical="center" wrapText="1"/>
    </xf>
    <xf numFmtId="3" fontId="8" fillId="57" borderId="47" xfId="0" applyNumberFormat="1" applyFont="1" applyFill="1" applyBorder="1" applyAlignment="1">
      <alignment horizontal="center" vertical="center" wrapText="1"/>
    </xf>
    <xf numFmtId="3" fontId="8" fillId="57" borderId="55" xfId="0" applyNumberFormat="1" applyFont="1" applyFill="1" applyBorder="1" applyAlignment="1">
      <alignment horizontal="center" vertical="center" wrapText="1"/>
    </xf>
    <xf numFmtId="3" fontId="73" fillId="54" borderId="42" xfId="0" applyNumberFormat="1" applyFont="1" applyFill="1" applyBorder="1" applyAlignment="1">
      <alignment horizontal="center" vertical="center" wrapText="1"/>
    </xf>
    <xf numFmtId="3" fontId="73" fillId="54" borderId="62" xfId="0" applyNumberFormat="1" applyFont="1" applyFill="1" applyBorder="1" applyAlignment="1">
      <alignment horizontal="center" vertical="center" wrapText="1"/>
    </xf>
    <xf numFmtId="3" fontId="73" fillId="54" borderId="41" xfId="0" applyNumberFormat="1" applyFont="1" applyFill="1" applyBorder="1" applyAlignment="1">
      <alignment horizontal="center" vertical="center" wrapText="1"/>
    </xf>
    <xf numFmtId="3" fontId="73" fillId="54" borderId="33" xfId="0" applyNumberFormat="1" applyFont="1" applyFill="1" applyBorder="1" applyAlignment="1">
      <alignment horizontal="center" vertical="center" wrapText="1"/>
    </xf>
    <xf numFmtId="3" fontId="73" fillId="54" borderId="80" xfId="0" applyNumberFormat="1" applyFont="1" applyFill="1" applyBorder="1" applyAlignment="1">
      <alignment horizontal="center" vertical="center" wrapText="1"/>
    </xf>
    <xf numFmtId="3" fontId="73" fillId="54" borderId="19" xfId="0" applyNumberFormat="1" applyFont="1" applyFill="1" applyBorder="1" applyAlignment="1">
      <alignment horizontal="center" vertical="center" wrapText="1"/>
    </xf>
    <xf numFmtId="3" fontId="15" fillId="57" borderId="89" xfId="0" applyNumberFormat="1" applyFont="1" applyFill="1" applyBorder="1" applyAlignment="1">
      <alignment horizontal="center" vertical="center" wrapText="1"/>
    </xf>
    <xf numFmtId="3" fontId="15" fillId="57" borderId="64" xfId="0" applyNumberFormat="1" applyFont="1" applyFill="1" applyBorder="1" applyAlignment="1">
      <alignment horizontal="center" vertical="center" wrapText="1"/>
    </xf>
    <xf numFmtId="3" fontId="8" fillId="57" borderId="39" xfId="0" applyNumberFormat="1" applyFont="1" applyFill="1" applyBorder="1" applyAlignment="1">
      <alignment horizontal="center" vertical="center" wrapText="1"/>
    </xf>
    <xf numFmtId="3" fontId="8" fillId="57" borderId="16" xfId="0" applyNumberFormat="1" applyFont="1" applyFill="1" applyBorder="1" applyAlignment="1">
      <alignment horizontal="center" vertical="center" wrapText="1"/>
    </xf>
    <xf numFmtId="3" fontId="8" fillId="57" borderId="17" xfId="0" applyNumberFormat="1" applyFont="1" applyFill="1" applyBorder="1" applyAlignment="1">
      <alignment horizontal="center" vertical="center" wrapText="1"/>
    </xf>
    <xf numFmtId="3" fontId="8" fillId="57" borderId="94" xfId="0" applyNumberFormat="1" applyFont="1" applyFill="1" applyBorder="1" applyAlignment="1">
      <alignment horizontal="center" vertical="center" wrapText="1"/>
    </xf>
    <xf numFmtId="3" fontId="8" fillId="57" borderId="88" xfId="0" applyNumberFormat="1" applyFont="1" applyFill="1" applyBorder="1" applyAlignment="1">
      <alignment horizontal="center" vertical="center" wrapText="1"/>
    </xf>
    <xf numFmtId="3" fontId="76" fillId="54" borderId="90" xfId="0" applyNumberFormat="1" applyFont="1" applyFill="1" applyBorder="1" applyAlignment="1">
      <alignment horizontal="center" vertical="center" wrapText="1"/>
    </xf>
    <xf numFmtId="3" fontId="76" fillId="54" borderId="56" xfId="0" applyNumberFormat="1" applyFont="1" applyFill="1" applyBorder="1" applyAlignment="1">
      <alignment horizontal="center" vertical="center" wrapText="1"/>
    </xf>
    <xf numFmtId="3" fontId="76" fillId="54" borderId="91" xfId="0" applyNumberFormat="1" applyFont="1" applyFill="1" applyBorder="1" applyAlignment="1">
      <alignment horizontal="center" vertical="center" wrapText="1"/>
    </xf>
    <xf numFmtId="3" fontId="81" fillId="54" borderId="92" xfId="0" applyNumberFormat="1" applyFont="1" applyFill="1" applyBorder="1" applyAlignment="1">
      <alignment horizontal="center" vertical="center" wrapText="1"/>
    </xf>
    <xf numFmtId="3" fontId="81" fillId="54" borderId="24" xfId="0" applyNumberFormat="1" applyFont="1" applyFill="1" applyBorder="1" applyAlignment="1">
      <alignment horizontal="center" vertical="center" wrapText="1"/>
    </xf>
    <xf numFmtId="3" fontId="81" fillId="54" borderId="25" xfId="0" applyNumberFormat="1" applyFont="1" applyFill="1" applyBorder="1" applyAlignment="1">
      <alignment horizontal="center" vertical="center" wrapText="1"/>
    </xf>
    <xf numFmtId="3" fontId="21" fillId="57" borderId="93" xfId="0" applyNumberFormat="1" applyFont="1" applyFill="1" applyBorder="1" applyAlignment="1">
      <alignment horizontal="center" vertical="center" wrapText="1"/>
    </xf>
    <xf numFmtId="3" fontId="21" fillId="57" borderId="48" xfId="0" applyNumberFormat="1" applyFont="1" applyFill="1" applyBorder="1" applyAlignment="1">
      <alignment horizontal="center" vertical="center" wrapText="1"/>
    </xf>
    <xf numFmtId="3" fontId="21" fillId="57" borderId="54" xfId="0" applyNumberFormat="1" applyFont="1" applyFill="1" applyBorder="1" applyAlignment="1">
      <alignment horizontal="center" vertical="center" wrapText="1"/>
    </xf>
    <xf numFmtId="3" fontId="21" fillId="57" borderId="81" xfId="0" applyNumberFormat="1" applyFont="1" applyFill="1" applyBorder="1" applyAlignment="1">
      <alignment horizontal="center" vertical="center" wrapText="1"/>
    </xf>
    <xf numFmtId="3" fontId="21" fillId="57" borderId="47" xfId="0" applyNumberFormat="1" applyFont="1" applyFill="1" applyBorder="1" applyAlignment="1">
      <alignment horizontal="center" vertical="center" wrapText="1"/>
    </xf>
    <xf numFmtId="3" fontId="21" fillId="57" borderId="55" xfId="0" applyNumberFormat="1" applyFont="1" applyFill="1" applyBorder="1" applyAlignment="1">
      <alignment horizontal="center" vertical="center" wrapText="1"/>
    </xf>
    <xf numFmtId="3" fontId="21" fillId="57" borderId="93" xfId="0" applyNumberFormat="1" applyFont="1" applyFill="1" applyBorder="1" applyAlignment="1">
      <alignment horizontal="center" vertical="center"/>
    </xf>
    <xf numFmtId="3" fontId="21" fillId="57" borderId="54" xfId="0" applyNumberFormat="1" applyFont="1" applyFill="1" applyBorder="1" applyAlignment="1">
      <alignment horizontal="center" vertical="center"/>
    </xf>
    <xf numFmtId="3" fontId="21" fillId="57" borderId="39" xfId="0" applyNumberFormat="1" applyFont="1" applyFill="1" applyBorder="1" applyAlignment="1">
      <alignment horizontal="center" vertical="center" wrapText="1"/>
    </xf>
    <xf numFmtId="3" fontId="21" fillId="57" borderId="16" xfId="0" applyNumberFormat="1" applyFont="1" applyFill="1" applyBorder="1" applyAlignment="1">
      <alignment horizontal="center" vertical="center" wrapText="1"/>
    </xf>
    <xf numFmtId="3" fontId="21" fillId="57" borderId="17" xfId="0" applyNumberFormat="1" applyFont="1" applyFill="1" applyBorder="1" applyAlignment="1">
      <alignment horizontal="center" vertical="center" wrapText="1"/>
    </xf>
    <xf numFmtId="3" fontId="9" fillId="57" borderId="89" xfId="0" applyNumberFormat="1" applyFont="1" applyFill="1" applyBorder="1" applyAlignment="1">
      <alignment horizontal="center" vertical="center" wrapText="1"/>
    </xf>
    <xf numFmtId="3" fontId="9" fillId="57" borderId="64" xfId="0" applyNumberFormat="1" applyFont="1" applyFill="1" applyBorder="1" applyAlignment="1">
      <alignment horizontal="center" vertical="center" wrapText="1"/>
    </xf>
    <xf numFmtId="3" fontId="77" fillId="54" borderId="42" xfId="0" applyNumberFormat="1" applyFont="1" applyFill="1" applyBorder="1" applyAlignment="1">
      <alignment horizontal="center" vertical="center" wrapText="1"/>
    </xf>
    <xf numFmtId="3" fontId="77" fillId="54" borderId="41" xfId="0" applyNumberFormat="1" applyFont="1" applyFill="1" applyBorder="1" applyAlignment="1">
      <alignment horizontal="center" vertical="center" wrapText="1"/>
    </xf>
    <xf numFmtId="3" fontId="77" fillId="54" borderId="32" xfId="0" applyNumberFormat="1" applyFont="1" applyFill="1" applyBorder="1" applyAlignment="1">
      <alignment horizontal="center" vertical="center" wrapText="1"/>
    </xf>
    <xf numFmtId="3" fontId="77" fillId="54" borderId="15" xfId="0" applyNumberFormat="1" applyFont="1" applyFill="1" applyBorder="1" applyAlignment="1">
      <alignment horizontal="center" vertical="center" wrapText="1"/>
    </xf>
    <xf numFmtId="3" fontId="77" fillId="54" borderId="33" xfId="0" applyNumberFormat="1" applyFont="1" applyFill="1" applyBorder="1" applyAlignment="1">
      <alignment horizontal="center" vertical="center" wrapText="1"/>
    </xf>
    <xf numFmtId="3" fontId="77" fillId="54" borderId="19" xfId="0" applyNumberFormat="1" applyFont="1" applyFill="1" applyBorder="1" applyAlignment="1">
      <alignment horizontal="center" vertical="center" wrapText="1"/>
    </xf>
    <xf numFmtId="3" fontId="76" fillId="54" borderId="92" xfId="0" applyNumberFormat="1" applyFont="1" applyFill="1" applyBorder="1" applyAlignment="1">
      <alignment horizontal="center" vertical="center" wrapText="1"/>
    </xf>
    <xf numFmtId="3" fontId="76" fillId="54" borderId="24" xfId="0" applyNumberFormat="1" applyFont="1" applyFill="1" applyBorder="1" applyAlignment="1">
      <alignment horizontal="center" vertical="center" wrapText="1"/>
    </xf>
    <xf numFmtId="3" fontId="76" fillId="54" borderId="25" xfId="0" applyNumberFormat="1" applyFont="1" applyFill="1" applyBorder="1" applyAlignment="1">
      <alignment horizontal="center" vertical="center" wrapText="1"/>
    </xf>
    <xf numFmtId="3" fontId="66" fillId="57" borderId="93" xfId="0" applyNumberFormat="1" applyFont="1" applyFill="1" applyBorder="1" applyAlignment="1">
      <alignment horizontal="center" vertical="center" wrapText="1"/>
    </xf>
    <xf numFmtId="3" fontId="66" fillId="57" borderId="48" xfId="0" applyNumberFormat="1" applyFont="1" applyFill="1" applyBorder="1" applyAlignment="1">
      <alignment horizontal="center" vertical="center" wrapText="1"/>
    </xf>
    <xf numFmtId="3" fontId="66" fillId="57" borderId="54" xfId="0" applyNumberFormat="1" applyFont="1" applyFill="1" applyBorder="1" applyAlignment="1">
      <alignment horizontal="center" vertical="center" wrapText="1"/>
    </xf>
    <xf numFmtId="3" fontId="66" fillId="57" borderId="39" xfId="0" applyNumberFormat="1" applyFont="1" applyFill="1" applyBorder="1" applyAlignment="1">
      <alignment horizontal="center" vertical="center" wrapText="1"/>
    </xf>
    <xf numFmtId="3" fontId="66" fillId="57" borderId="16" xfId="0" applyNumberFormat="1" applyFont="1" applyFill="1" applyBorder="1" applyAlignment="1">
      <alignment horizontal="center" vertical="center" wrapText="1"/>
    </xf>
    <xf numFmtId="3" fontId="66" fillId="57" borderId="17" xfId="0" applyNumberFormat="1" applyFont="1" applyFill="1" applyBorder="1" applyAlignment="1">
      <alignment horizontal="center" vertical="center" wrapText="1"/>
    </xf>
    <xf numFmtId="3" fontId="67" fillId="57" borderId="89" xfId="0" applyNumberFormat="1" applyFont="1" applyFill="1" applyBorder="1" applyAlignment="1">
      <alignment horizontal="center" vertical="center" wrapText="1"/>
    </xf>
    <xf numFmtId="3" fontId="67" fillId="57" borderId="64" xfId="0" applyNumberFormat="1" applyFont="1" applyFill="1" applyBorder="1" applyAlignment="1">
      <alignment horizontal="center" vertical="center" wrapText="1"/>
    </xf>
    <xf numFmtId="3" fontId="66" fillId="57" borderId="81" xfId="0" applyNumberFormat="1" applyFont="1" applyFill="1" applyBorder="1" applyAlignment="1">
      <alignment horizontal="center" vertical="center" wrapText="1"/>
    </xf>
    <xf numFmtId="3" fontId="66" fillId="57" borderId="47" xfId="0" applyNumberFormat="1" applyFont="1" applyFill="1" applyBorder="1" applyAlignment="1">
      <alignment horizontal="center" vertical="center" wrapText="1"/>
    </xf>
    <xf numFmtId="3" fontId="66" fillId="57" borderId="55" xfId="0" applyNumberFormat="1" applyFont="1" applyFill="1" applyBorder="1" applyAlignment="1">
      <alignment horizontal="center" vertical="center" wrapText="1"/>
    </xf>
    <xf numFmtId="3" fontId="66" fillId="57" borderId="93" xfId="0" applyNumberFormat="1" applyFont="1" applyFill="1" applyBorder="1" applyAlignment="1">
      <alignment horizontal="center" vertical="center"/>
    </xf>
    <xf numFmtId="3" fontId="66" fillId="57" borderId="54" xfId="0" applyNumberFormat="1" applyFont="1" applyFill="1" applyBorder="1" applyAlignment="1">
      <alignment horizontal="center" vertical="center"/>
    </xf>
    <xf numFmtId="3" fontId="73" fillId="54" borderId="42" xfId="0" applyNumberFormat="1" applyFont="1" applyFill="1" applyBorder="1" applyAlignment="1">
      <alignment horizontal="center" vertical="center"/>
    </xf>
    <xf numFmtId="3" fontId="73" fillId="54" borderId="62" xfId="0" applyNumberFormat="1" applyFont="1" applyFill="1" applyBorder="1" applyAlignment="1">
      <alignment horizontal="center" vertical="center"/>
    </xf>
    <xf numFmtId="3" fontId="73" fillId="54" borderId="41" xfId="0" applyNumberFormat="1" applyFont="1" applyFill="1" applyBorder="1" applyAlignment="1">
      <alignment horizontal="center" vertical="center"/>
    </xf>
    <xf numFmtId="3" fontId="73" fillId="54" borderId="33" xfId="0" applyNumberFormat="1" applyFont="1" applyFill="1" applyBorder="1" applyAlignment="1">
      <alignment horizontal="center" vertical="center"/>
    </xf>
    <xf numFmtId="3" fontId="73" fillId="54" borderId="80" xfId="0" applyNumberFormat="1" applyFont="1" applyFill="1" applyBorder="1" applyAlignment="1">
      <alignment horizontal="center" vertical="center"/>
    </xf>
    <xf numFmtId="3" fontId="73" fillId="54" borderId="19" xfId="0" applyNumberFormat="1" applyFont="1" applyFill="1" applyBorder="1" applyAlignment="1">
      <alignment horizontal="center" vertical="center"/>
    </xf>
    <xf numFmtId="3" fontId="76" fillId="54" borderId="23" xfId="0" applyNumberFormat="1" applyFont="1" applyFill="1" applyBorder="1" applyAlignment="1">
      <alignment horizontal="center" vertical="center" wrapText="1"/>
    </xf>
    <xf numFmtId="3" fontId="76" fillId="54" borderId="27" xfId="0" applyNumberFormat="1" applyFont="1" applyFill="1" applyBorder="1" applyAlignment="1">
      <alignment horizontal="center" vertical="center" wrapText="1"/>
    </xf>
    <xf numFmtId="3" fontId="76" fillId="54" borderId="42" xfId="0" applyNumberFormat="1" applyFont="1" applyFill="1" applyBorder="1" applyAlignment="1">
      <alignment horizontal="center" vertical="center" wrapText="1"/>
    </xf>
    <xf numFmtId="3" fontId="76" fillId="54" borderId="41" xfId="0" applyNumberFormat="1" applyFont="1" applyFill="1" applyBorder="1" applyAlignment="1">
      <alignment horizontal="center" vertical="center" wrapText="1"/>
    </xf>
    <xf numFmtId="3" fontId="76" fillId="54" borderId="33" xfId="0" applyNumberFormat="1" applyFont="1" applyFill="1" applyBorder="1" applyAlignment="1">
      <alignment horizontal="center" vertical="center" wrapText="1"/>
    </xf>
    <xf numFmtId="3" fontId="76" fillId="54" borderId="19" xfId="0" applyNumberFormat="1" applyFont="1" applyFill="1" applyBorder="1" applyAlignment="1">
      <alignment horizontal="center" vertical="center" wrapText="1"/>
    </xf>
    <xf numFmtId="3" fontId="10" fillId="53" borderId="39" xfId="0" applyNumberFormat="1" applyFont="1" applyFill="1" applyBorder="1" applyAlignment="1">
      <alignment horizontal="center" vertical="center" wrapText="1"/>
    </xf>
    <xf numFmtId="3" fontId="10" fillId="53" borderId="16" xfId="0" applyNumberFormat="1" applyFont="1" applyFill="1" applyBorder="1" applyAlignment="1">
      <alignment horizontal="center" vertical="center" wrapText="1"/>
    </xf>
    <xf numFmtId="3" fontId="10" fillId="53" borderId="17" xfId="0" applyNumberFormat="1" applyFont="1" applyFill="1" applyBorder="1" applyAlignment="1">
      <alignment horizontal="center" vertical="center" wrapText="1"/>
    </xf>
    <xf numFmtId="3" fontId="10" fillId="53" borderId="81" xfId="0" applyNumberFormat="1" applyFont="1" applyFill="1" applyBorder="1" applyAlignment="1">
      <alignment horizontal="center" vertical="center" wrapText="1"/>
    </xf>
    <xf numFmtId="3" fontId="10" fillId="53" borderId="47" xfId="0" applyNumberFormat="1" applyFont="1" applyFill="1" applyBorder="1" applyAlignment="1">
      <alignment horizontal="center" vertical="center" wrapText="1"/>
    </xf>
    <xf numFmtId="3" fontId="10" fillId="53" borderId="55" xfId="0" applyNumberFormat="1" applyFont="1" applyFill="1" applyBorder="1" applyAlignment="1">
      <alignment horizontal="center" vertical="center" wrapText="1"/>
    </xf>
    <xf numFmtId="3" fontId="21" fillId="57" borderId="23" xfId="0" applyNumberFormat="1" applyFont="1" applyFill="1" applyBorder="1" applyAlignment="1">
      <alignment horizontal="center" vertical="center" wrapText="1"/>
    </xf>
    <xf numFmtId="3" fontId="21" fillId="57" borderId="24" xfId="0" applyNumberFormat="1" applyFont="1" applyFill="1" applyBorder="1" applyAlignment="1">
      <alignment horizontal="center" vertical="center" wrapText="1"/>
    </xf>
    <xf numFmtId="3" fontId="21" fillId="57" borderId="27" xfId="0" applyNumberFormat="1" applyFont="1" applyFill="1" applyBorder="1" applyAlignment="1">
      <alignment horizontal="center" vertical="center" wrapText="1"/>
    </xf>
    <xf numFmtId="3" fontId="79" fillId="57" borderId="89" xfId="0" applyNumberFormat="1" applyFont="1" applyFill="1" applyBorder="1" applyAlignment="1">
      <alignment horizontal="center" vertical="center" wrapText="1"/>
    </xf>
    <xf numFmtId="3" fontId="79" fillId="57" borderId="64" xfId="0" applyNumberFormat="1" applyFont="1" applyFill="1" applyBorder="1" applyAlignment="1">
      <alignment horizontal="center" vertical="center" wrapText="1"/>
    </xf>
    <xf numFmtId="3" fontId="78" fillId="57" borderId="93" xfId="0" applyNumberFormat="1" applyFont="1" applyFill="1" applyBorder="1" applyAlignment="1">
      <alignment horizontal="center" vertical="center" wrapText="1"/>
    </xf>
    <xf numFmtId="3" fontId="78" fillId="57" borderId="48" xfId="0" applyNumberFormat="1" applyFont="1" applyFill="1" applyBorder="1" applyAlignment="1">
      <alignment horizontal="center" vertical="center" wrapText="1"/>
    </xf>
    <xf numFmtId="3" fontId="78" fillId="57" borderId="54" xfId="0" applyNumberFormat="1" applyFont="1" applyFill="1" applyBorder="1" applyAlignment="1">
      <alignment horizontal="center" vertical="center" wrapText="1"/>
    </xf>
    <xf numFmtId="3" fontId="78" fillId="57" borderId="93" xfId="0" applyNumberFormat="1" applyFont="1" applyFill="1" applyBorder="1" applyAlignment="1">
      <alignment horizontal="center" vertical="center"/>
    </xf>
    <xf numFmtId="3" fontId="78" fillId="57" borderId="54" xfId="0" applyNumberFormat="1" applyFont="1" applyFill="1" applyBorder="1" applyAlignment="1">
      <alignment horizontal="center" vertical="center"/>
    </xf>
    <xf numFmtId="3" fontId="78" fillId="57" borderId="39" xfId="0" applyNumberFormat="1" applyFont="1" applyFill="1" applyBorder="1" applyAlignment="1">
      <alignment horizontal="center" vertical="center" wrapText="1"/>
    </xf>
    <xf numFmtId="3" fontId="78" fillId="57" borderId="16" xfId="0" applyNumberFormat="1" applyFont="1" applyFill="1" applyBorder="1" applyAlignment="1">
      <alignment horizontal="center" vertical="center" wrapText="1"/>
    </xf>
    <xf numFmtId="3" fontId="78" fillId="57" borderId="17" xfId="0" applyNumberFormat="1" applyFont="1" applyFill="1" applyBorder="1" applyAlignment="1">
      <alignment horizontal="center" vertical="center" wrapText="1"/>
    </xf>
    <xf numFmtId="3" fontId="77" fillId="54" borderId="42" xfId="0" applyNumberFormat="1" applyFont="1" applyFill="1" applyBorder="1" applyAlignment="1">
      <alignment horizontal="center" vertical="center"/>
    </xf>
    <xf numFmtId="3" fontId="77" fillId="54" borderId="41" xfId="0" applyNumberFormat="1" applyFont="1" applyFill="1" applyBorder="1" applyAlignment="1">
      <alignment horizontal="center" vertical="center"/>
    </xf>
    <xf numFmtId="3" fontId="77" fillId="54" borderId="32" xfId="0" applyNumberFormat="1" applyFont="1" applyFill="1" applyBorder="1" applyAlignment="1">
      <alignment horizontal="center" vertical="center"/>
    </xf>
    <xf numFmtId="3" fontId="77" fillId="54" borderId="15" xfId="0" applyNumberFormat="1" applyFont="1" applyFill="1" applyBorder="1" applyAlignment="1">
      <alignment horizontal="center" vertical="center"/>
    </xf>
    <xf numFmtId="3" fontId="77" fillId="54" borderId="33" xfId="0" applyNumberFormat="1" applyFont="1" applyFill="1" applyBorder="1" applyAlignment="1">
      <alignment horizontal="center" vertical="center"/>
    </xf>
    <xf numFmtId="3" fontId="77" fillId="54" borderId="19" xfId="0" applyNumberFormat="1" applyFont="1" applyFill="1" applyBorder="1" applyAlignment="1">
      <alignment horizontal="center" vertical="center"/>
    </xf>
    <xf numFmtId="3" fontId="78" fillId="57" borderId="47" xfId="0" applyNumberFormat="1" applyFont="1" applyFill="1" applyBorder="1" applyAlignment="1">
      <alignment horizontal="center" vertical="center" wrapText="1"/>
    </xf>
    <xf numFmtId="3" fontId="78" fillId="57" borderId="48" xfId="0" applyNumberFormat="1" applyFont="1" applyFill="1" applyBorder="1" applyAlignment="1">
      <alignment horizontal="center" vertical="center"/>
    </xf>
    <xf numFmtId="3" fontId="21" fillId="57" borderId="48" xfId="0" applyNumberFormat="1" applyFont="1" applyFill="1" applyBorder="1" applyAlignment="1">
      <alignment horizontal="center" vertical="center"/>
    </xf>
    <xf numFmtId="3" fontId="78" fillId="57" borderId="81" xfId="0" applyNumberFormat="1" applyFont="1" applyFill="1" applyBorder="1" applyAlignment="1">
      <alignment horizontal="center" vertical="center" wrapText="1"/>
    </xf>
    <xf numFmtId="3" fontId="21" fillId="57" borderId="94" xfId="0" applyNumberFormat="1" applyFont="1" applyFill="1" applyBorder="1" applyAlignment="1">
      <alignment horizontal="center" vertical="center" wrapText="1"/>
    </xf>
    <xf numFmtId="3" fontId="21" fillId="57" borderId="88" xfId="0" applyNumberFormat="1" applyFont="1" applyFill="1" applyBorder="1" applyAlignment="1">
      <alignment horizontal="center" vertical="center" wrapText="1"/>
    </xf>
    <xf numFmtId="3" fontId="9" fillId="57" borderId="77" xfId="0" applyNumberFormat="1" applyFont="1" applyFill="1" applyBorder="1" applyAlignment="1">
      <alignment horizontal="center" vertical="center" wrapText="1"/>
    </xf>
    <xf numFmtId="3" fontId="9" fillId="57" borderId="18" xfId="0" applyNumberFormat="1" applyFont="1" applyFill="1" applyBorder="1" applyAlignment="1">
      <alignment horizontal="center" vertical="center" wrapText="1"/>
    </xf>
    <xf numFmtId="3" fontId="19" fillId="55" borderId="66" xfId="0" applyNumberFormat="1" applyFont="1" applyFill="1" applyBorder="1" applyAlignment="1">
      <alignment horizontal="center" vertical="center" wrapText="1"/>
    </xf>
    <xf numFmtId="3" fontId="19" fillId="55" borderId="66" xfId="0" applyNumberFormat="1" applyFont="1" applyFill="1" applyBorder="1" applyAlignment="1">
      <alignment horizontal="center" vertical="center"/>
    </xf>
    <xf numFmtId="3" fontId="73" fillId="54" borderId="23" xfId="0" applyNumberFormat="1" applyFont="1" applyFill="1" applyBorder="1" applyAlignment="1">
      <alignment horizontal="center" vertical="center"/>
    </xf>
    <xf numFmtId="3" fontId="73" fillId="54" borderId="24" xfId="0" applyNumberFormat="1" applyFont="1" applyFill="1" applyBorder="1" applyAlignment="1">
      <alignment horizontal="center" vertical="center"/>
    </xf>
    <xf numFmtId="3" fontId="73" fillId="54" borderId="27" xfId="0" applyNumberFormat="1" applyFont="1" applyFill="1" applyBorder="1" applyAlignment="1">
      <alignment horizontal="center" vertical="center"/>
    </xf>
    <xf numFmtId="3" fontId="80" fillId="54" borderId="87" xfId="0" applyNumberFormat="1" applyFont="1" applyFill="1" applyBorder="1" applyAlignment="1">
      <alignment vertical="center" wrapText="1"/>
    </xf>
    <xf numFmtId="3" fontId="80" fillId="54" borderId="67" xfId="0" applyNumberFormat="1" applyFont="1" applyFill="1" applyBorder="1" applyAlignment="1">
      <alignment vertical="center" wrapText="1"/>
    </xf>
    <xf numFmtId="3" fontId="80" fillId="54" borderId="65" xfId="0" applyNumberFormat="1" applyFont="1" applyFill="1" applyBorder="1" applyAlignment="1">
      <alignment vertical="center" wrapText="1"/>
    </xf>
    <xf numFmtId="3" fontId="19" fillId="55" borderId="23" xfId="0" applyNumberFormat="1" applyFont="1" applyFill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3" fontId="78" fillId="57" borderId="55" xfId="0" applyNumberFormat="1" applyFont="1" applyFill="1" applyBorder="1" applyAlignment="1">
      <alignment horizontal="center" vertical="center" wrapText="1"/>
    </xf>
    <xf numFmtId="3" fontId="12" fillId="55" borderId="86" xfId="0" applyNumberFormat="1" applyFont="1" applyFill="1" applyBorder="1" applyAlignment="1">
      <alignment horizontal="center" vertical="center"/>
    </xf>
    <xf numFmtId="3" fontId="12" fillId="55" borderId="24" xfId="0" applyNumberFormat="1" applyFont="1" applyFill="1" applyBorder="1" applyAlignment="1">
      <alignment horizontal="center" vertical="center"/>
    </xf>
    <xf numFmtId="3" fontId="12" fillId="55" borderId="27" xfId="0" applyNumberFormat="1" applyFont="1" applyFill="1" applyBorder="1" applyAlignment="1">
      <alignment horizontal="center" vertical="center"/>
    </xf>
    <xf numFmtId="3" fontId="12" fillId="55" borderId="23" xfId="0" applyNumberFormat="1" applyFont="1" applyFill="1" applyBorder="1" applyAlignment="1">
      <alignment horizontal="center" vertical="center"/>
    </xf>
    <xf numFmtId="3" fontId="12" fillId="55" borderId="32" xfId="0" applyNumberFormat="1" applyFont="1" applyFill="1" applyBorder="1" applyAlignment="1">
      <alignment horizontal="center" vertical="center"/>
    </xf>
    <xf numFmtId="3" fontId="76" fillId="54" borderId="62" xfId="0" applyNumberFormat="1" applyFont="1" applyFill="1" applyBorder="1" applyAlignment="1">
      <alignment horizontal="center" vertical="center" wrapText="1"/>
    </xf>
    <xf numFmtId="3" fontId="76" fillId="54" borderId="15" xfId="0" applyNumberFormat="1" applyFont="1" applyFill="1" applyBorder="1" applyAlignment="1">
      <alignment horizontal="center" vertical="center" wrapText="1"/>
    </xf>
    <xf numFmtId="3" fontId="76" fillId="54" borderId="32" xfId="0" applyNumberFormat="1" applyFont="1" applyFill="1" applyBorder="1" applyAlignment="1">
      <alignment horizontal="center" vertical="center" wrapText="1"/>
    </xf>
    <xf numFmtId="3" fontId="76" fillId="54" borderId="0" xfId="0" applyNumberFormat="1" applyFont="1" applyFill="1" applyAlignment="1">
      <alignment horizontal="center" vertical="center" wrapText="1"/>
    </xf>
    <xf numFmtId="3" fontId="76" fillId="54" borderId="80" xfId="0" applyNumberFormat="1" applyFont="1" applyFill="1" applyBorder="1" applyAlignment="1">
      <alignment horizontal="center" vertical="center" wrapText="1"/>
    </xf>
    <xf numFmtId="3" fontId="12" fillId="55" borderId="26" xfId="0" applyNumberFormat="1" applyFont="1" applyFill="1" applyBorder="1" applyAlignment="1">
      <alignment horizontal="center" vertical="center"/>
    </xf>
    <xf numFmtId="3" fontId="55" fillId="0" borderId="13" xfId="0" applyNumberFormat="1" applyFont="1" applyBorder="1" applyAlignment="1">
      <alignment horizontal="center"/>
    </xf>
    <xf numFmtId="3" fontId="11" fillId="0" borderId="0" xfId="0" applyNumberFormat="1" applyFont="1" applyBorder="1" applyAlignment="1">
      <alignment horizontal="center"/>
    </xf>
  </cellXfs>
  <cellStyles count="94">
    <cellStyle name="Accent1" xfId="1" xr:uid="{00000000-0005-0000-0000-000000000000}"/>
    <cellStyle name="Accent1 - 20%" xfId="2" xr:uid="{00000000-0005-0000-0000-000001000000}"/>
    <cellStyle name="Accent1 - 40%" xfId="3" xr:uid="{00000000-0005-0000-0000-000002000000}"/>
    <cellStyle name="Accent1 - 60%" xfId="4" xr:uid="{00000000-0005-0000-0000-000003000000}"/>
    <cellStyle name="Accent2" xfId="5" xr:uid="{00000000-0005-0000-0000-000004000000}"/>
    <cellStyle name="Accent2 - 20%" xfId="6" xr:uid="{00000000-0005-0000-0000-000005000000}"/>
    <cellStyle name="Accent2 - 40%" xfId="7" xr:uid="{00000000-0005-0000-0000-000006000000}"/>
    <cellStyle name="Accent2 - 60%" xfId="8" xr:uid="{00000000-0005-0000-0000-000007000000}"/>
    <cellStyle name="Accent3" xfId="9" xr:uid="{00000000-0005-0000-0000-000008000000}"/>
    <cellStyle name="Accent3 - 20%" xfId="10" xr:uid="{00000000-0005-0000-0000-000009000000}"/>
    <cellStyle name="Accent3 - 40%" xfId="11" xr:uid="{00000000-0005-0000-0000-00000A000000}"/>
    <cellStyle name="Accent3 - 60%" xfId="12" xr:uid="{00000000-0005-0000-0000-00000B000000}"/>
    <cellStyle name="Accent4" xfId="13" xr:uid="{00000000-0005-0000-0000-00000C000000}"/>
    <cellStyle name="Accent4 - 20%" xfId="14" xr:uid="{00000000-0005-0000-0000-00000D000000}"/>
    <cellStyle name="Accent4 - 40%" xfId="15" xr:uid="{00000000-0005-0000-0000-00000E000000}"/>
    <cellStyle name="Accent4 - 60%" xfId="16" xr:uid="{00000000-0005-0000-0000-00000F000000}"/>
    <cellStyle name="Accent5" xfId="17" xr:uid="{00000000-0005-0000-0000-000010000000}"/>
    <cellStyle name="Accent5 - 20%" xfId="18" xr:uid="{00000000-0005-0000-0000-000011000000}"/>
    <cellStyle name="Accent5 - 40%" xfId="19" xr:uid="{00000000-0005-0000-0000-000012000000}"/>
    <cellStyle name="Accent5 - 60%" xfId="20" xr:uid="{00000000-0005-0000-0000-000013000000}"/>
    <cellStyle name="Accent6" xfId="21" xr:uid="{00000000-0005-0000-0000-000014000000}"/>
    <cellStyle name="Accent6 - 20%" xfId="22" xr:uid="{00000000-0005-0000-0000-000015000000}"/>
    <cellStyle name="Accent6 - 40%" xfId="23" xr:uid="{00000000-0005-0000-0000-000016000000}"/>
    <cellStyle name="Accent6 - 60%" xfId="24" xr:uid="{00000000-0005-0000-0000-000017000000}"/>
    <cellStyle name="Bad" xfId="25" xr:uid="{00000000-0005-0000-0000-000018000000}"/>
    <cellStyle name="Calculation" xfId="26" xr:uid="{00000000-0005-0000-0000-000019000000}"/>
    <cellStyle name="Check Cell" xfId="36" xr:uid="{00000000-0005-0000-0000-000023000000}"/>
    <cellStyle name="Emphasis 1" xfId="27" xr:uid="{00000000-0005-0000-0000-00001A000000}"/>
    <cellStyle name="Emphasis 2" xfId="28" xr:uid="{00000000-0005-0000-0000-00001B000000}"/>
    <cellStyle name="Emphasis 3" xfId="29" xr:uid="{00000000-0005-0000-0000-00001C000000}"/>
    <cellStyle name="Explanatory Text" xfId="30" xr:uid="{00000000-0005-0000-0000-00001D000000}"/>
    <cellStyle name="Good" xfId="31" xr:uid="{00000000-0005-0000-0000-00001E000000}"/>
    <cellStyle name="Heading 1" xfId="32" xr:uid="{00000000-0005-0000-0000-00001F000000}"/>
    <cellStyle name="Heading 2" xfId="33" xr:uid="{00000000-0005-0000-0000-000020000000}"/>
    <cellStyle name="Heading 3" xfId="34" xr:uid="{00000000-0005-0000-0000-000021000000}"/>
    <cellStyle name="Heading 4" xfId="35" xr:uid="{00000000-0005-0000-0000-000022000000}"/>
    <cellStyle name="Input" xfId="37" xr:uid="{00000000-0005-0000-0000-000024000000}"/>
    <cellStyle name="Linked Cell" xfId="38" xr:uid="{00000000-0005-0000-0000-000025000000}"/>
    <cellStyle name="Neutral" xfId="39" xr:uid="{00000000-0005-0000-0000-000026000000}"/>
    <cellStyle name="Normal" xfId="0" builtinId="0"/>
    <cellStyle name="Normal 2" xfId="40" xr:uid="{00000000-0005-0000-0000-000027000000}"/>
    <cellStyle name="Normální 2" xfId="41" xr:uid="{00000000-0005-0000-0000-000029000000}"/>
    <cellStyle name="Normální 2 2" xfId="42" xr:uid="{00000000-0005-0000-0000-00002A000000}"/>
    <cellStyle name="Normální 3" xfId="43" xr:uid="{00000000-0005-0000-0000-00002B000000}"/>
    <cellStyle name="Normální 4" xfId="44" xr:uid="{00000000-0005-0000-0000-00002C000000}"/>
    <cellStyle name="Normální 5" xfId="45" xr:uid="{00000000-0005-0000-0000-00002D000000}"/>
    <cellStyle name="Note" xfId="46" xr:uid="{00000000-0005-0000-0000-00002E000000}"/>
    <cellStyle name="Output" xfId="47" xr:uid="{00000000-0005-0000-0000-00002F000000}"/>
    <cellStyle name="SAPBEXaggData" xfId="48" xr:uid="{00000000-0005-0000-0000-000030000000}"/>
    <cellStyle name="SAPBEXaggDataEmph" xfId="49" xr:uid="{00000000-0005-0000-0000-000031000000}"/>
    <cellStyle name="SAPBEXaggItem" xfId="50" xr:uid="{00000000-0005-0000-0000-000032000000}"/>
    <cellStyle name="SAPBEXaggItemX" xfId="51" xr:uid="{00000000-0005-0000-0000-000033000000}"/>
    <cellStyle name="SAPBEXchaText" xfId="79" xr:uid="{00000000-0005-0000-0000-00004F000000}"/>
    <cellStyle name="SAPBEXexcBad7" xfId="52" xr:uid="{00000000-0005-0000-0000-000034000000}"/>
    <cellStyle name="SAPBEXexcBad8" xfId="53" xr:uid="{00000000-0005-0000-0000-000035000000}"/>
    <cellStyle name="SAPBEXexcBad9" xfId="54" xr:uid="{00000000-0005-0000-0000-000036000000}"/>
    <cellStyle name="SAPBEXexcCritical4" xfId="55" xr:uid="{00000000-0005-0000-0000-000037000000}"/>
    <cellStyle name="SAPBEXexcCritical5" xfId="56" xr:uid="{00000000-0005-0000-0000-000038000000}"/>
    <cellStyle name="SAPBEXexcCritical6" xfId="57" xr:uid="{00000000-0005-0000-0000-000039000000}"/>
    <cellStyle name="SAPBEXexcGood1" xfId="58" xr:uid="{00000000-0005-0000-0000-00003A000000}"/>
    <cellStyle name="SAPBEXexcGood2" xfId="59" xr:uid="{00000000-0005-0000-0000-00003B000000}"/>
    <cellStyle name="SAPBEXexcGood3" xfId="60" xr:uid="{00000000-0005-0000-0000-00003C000000}"/>
    <cellStyle name="SAPBEXfilterDrill" xfId="61" xr:uid="{00000000-0005-0000-0000-00003D000000}"/>
    <cellStyle name="SAPBEXFilterInfo1" xfId="62" xr:uid="{00000000-0005-0000-0000-00003E000000}"/>
    <cellStyle name="SAPBEXFilterInfo1 2" xfId="63" xr:uid="{00000000-0005-0000-0000-00003F000000}"/>
    <cellStyle name="SAPBEXFilterInfo2" xfId="64" xr:uid="{00000000-0005-0000-0000-000040000000}"/>
    <cellStyle name="SAPBEXFilterInfoHlavicka" xfId="65" xr:uid="{00000000-0005-0000-0000-000041000000}"/>
    <cellStyle name="SAPBEXfilterItem" xfId="66" xr:uid="{00000000-0005-0000-0000-000042000000}"/>
    <cellStyle name="SAPBEXfilterText" xfId="67" xr:uid="{00000000-0005-0000-0000-000043000000}"/>
    <cellStyle name="SAPBEXformats" xfId="68" xr:uid="{00000000-0005-0000-0000-000044000000}"/>
    <cellStyle name="SAPBEXheaderItem" xfId="69" xr:uid="{00000000-0005-0000-0000-000045000000}"/>
    <cellStyle name="SAPBEXheaderText" xfId="70" xr:uid="{00000000-0005-0000-0000-000046000000}"/>
    <cellStyle name="SAPBEXHLevel0" xfId="71" xr:uid="{00000000-0005-0000-0000-000047000000}"/>
    <cellStyle name="SAPBEXHLevel0X" xfId="72" xr:uid="{00000000-0005-0000-0000-000048000000}"/>
    <cellStyle name="SAPBEXHLevel1" xfId="73" xr:uid="{00000000-0005-0000-0000-000049000000}"/>
    <cellStyle name="SAPBEXHLevel1X" xfId="74" xr:uid="{00000000-0005-0000-0000-00004A000000}"/>
    <cellStyle name="SAPBEXHLevel2" xfId="75" xr:uid="{00000000-0005-0000-0000-00004B000000}"/>
    <cellStyle name="SAPBEXHLevel2X" xfId="76" xr:uid="{00000000-0005-0000-0000-00004C000000}"/>
    <cellStyle name="SAPBEXHLevel3" xfId="77" xr:uid="{00000000-0005-0000-0000-00004D000000}"/>
    <cellStyle name="SAPBEXHLevel3X" xfId="78" xr:uid="{00000000-0005-0000-0000-00004E000000}"/>
    <cellStyle name="SAPBEXinputData" xfId="80" xr:uid="{00000000-0005-0000-0000-000050000000}"/>
    <cellStyle name="SAPBEXItemHeader" xfId="81" xr:uid="{00000000-0005-0000-0000-000051000000}"/>
    <cellStyle name="SAPBEXresData" xfId="82" xr:uid="{00000000-0005-0000-0000-000052000000}"/>
    <cellStyle name="SAPBEXresDataEmph" xfId="83" xr:uid="{00000000-0005-0000-0000-000053000000}"/>
    <cellStyle name="SAPBEXresItem" xfId="84" xr:uid="{00000000-0005-0000-0000-000054000000}"/>
    <cellStyle name="SAPBEXresItemX" xfId="85" xr:uid="{00000000-0005-0000-0000-000055000000}"/>
    <cellStyle name="SAPBEXstdData" xfId="86" xr:uid="{00000000-0005-0000-0000-000056000000}"/>
    <cellStyle name="SAPBEXstdDataEmph" xfId="87" xr:uid="{00000000-0005-0000-0000-000057000000}"/>
    <cellStyle name="SAPBEXstdItem" xfId="88" xr:uid="{00000000-0005-0000-0000-000058000000}"/>
    <cellStyle name="SAPBEXstdItemX" xfId="89" xr:uid="{00000000-0005-0000-0000-000059000000}"/>
    <cellStyle name="SAPBEXtitle" xfId="90" xr:uid="{00000000-0005-0000-0000-00005A000000}"/>
    <cellStyle name="SAPBEXunassignedItem" xfId="91" xr:uid="{00000000-0005-0000-0000-00005B000000}"/>
    <cellStyle name="SAPBEXundefined" xfId="92" xr:uid="{00000000-0005-0000-0000-00005C000000}"/>
    <cellStyle name="Sheet Title" xfId="93" xr:uid="{00000000-0005-0000-0000-00005D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systému Office">
  <a:themeElements>
    <a:clrScheme name="Kancelář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– klasické">
      <a:majorFont>
        <a:latin typeface="Arial"/>
        <a:ea typeface=""/>
        <a:cs typeface=""/>
        <a:font script="Jpan" typeface="ＭＳ Ｐゴシック"/>
        <a:font script="Hang" typeface="돋움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Times New Roman"/>
        <a:ea typeface=""/>
        <a:cs typeface=""/>
        <a:font script="Jpan" typeface="ＭＳ Ｐ明朝"/>
        <a:font script="Hang" typeface="바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List1"/>
  <dimension ref="A1:AU59"/>
  <sheetViews>
    <sheetView zoomScale="90" zoomScaleNormal="90" workbookViewId="0">
      <pane xSplit="3" ySplit="5" topLeftCell="Y6" activePane="bottomRight" state="frozen"/>
      <selection activeCell="HM1" sqref="HM1:HN2"/>
      <selection pane="topRight" activeCell="HM1" sqref="HM1:HN2"/>
      <selection pane="bottomLeft" activeCell="HM1" sqref="HM1:HN2"/>
      <selection pane="bottomRight" activeCell="AT3" sqref="AT1:AU1048576"/>
    </sheetView>
  </sheetViews>
  <sheetFormatPr baseColWidth="10" defaultColWidth="11.5" defaultRowHeight="13"/>
  <cols>
    <col min="1" max="1" width="10.6640625" style="6" customWidth="1"/>
    <col min="2" max="2" width="11.6640625" style="6" customWidth="1"/>
    <col min="3" max="3" width="56.5" style="13" customWidth="1"/>
    <col min="4" max="4" width="2.6640625" style="6" customWidth="1"/>
    <col min="5" max="7" width="18.5" style="6" customWidth="1"/>
    <col min="8" max="8" width="12.83203125" style="6" customWidth="1"/>
    <col min="9" max="10" width="11.5" style="6" customWidth="1"/>
    <col min="11" max="11" width="11.5" style="6"/>
    <col min="12" max="14" width="18.5" style="6" customWidth="1"/>
    <col min="15" max="15" width="15" style="6" customWidth="1"/>
    <col min="16" max="16" width="11.1640625" style="6" customWidth="1"/>
    <col min="17" max="17" width="9.1640625" style="6" customWidth="1"/>
    <col min="18" max="18" width="17.5" style="6" customWidth="1"/>
    <col min="19" max="19" width="17" style="6" customWidth="1"/>
    <col min="20" max="20" width="17.1640625" style="6" customWidth="1"/>
    <col min="21" max="21" width="12.6640625" style="6" customWidth="1"/>
    <col min="22" max="23" width="9.1640625" style="6" customWidth="1"/>
    <col min="24" max="25" width="11.5" style="6" customWidth="1"/>
    <col min="26" max="26" width="9.1640625" customWidth="1"/>
    <col min="27" max="29" width="18.5" style="6" customWidth="1"/>
    <col min="30" max="30" width="12.83203125" style="6" customWidth="1"/>
    <col min="31" max="32" width="11.5" style="6" customWidth="1"/>
    <col min="33" max="33" width="11.5" style="6"/>
    <col min="34" max="36" width="18.5" style="6" customWidth="1"/>
    <col min="37" max="37" width="15" style="6" customWidth="1"/>
    <col min="38" max="38" width="16.5" style="6" bestFit="1" customWidth="1"/>
    <col min="39" max="39" width="9.1640625" style="6" customWidth="1"/>
    <col min="40" max="40" width="17.5" style="6" customWidth="1"/>
    <col min="41" max="41" width="17" style="6" customWidth="1"/>
    <col min="42" max="42" width="17.1640625" style="6" customWidth="1"/>
    <col min="43" max="43" width="12.6640625" style="6" customWidth="1"/>
    <col min="44" max="44" width="12.83203125" style="6" customWidth="1"/>
    <col min="45" max="45" width="9.1640625" style="6" customWidth="1"/>
    <col min="46" max="47" width="11.5" style="6"/>
  </cols>
  <sheetData>
    <row r="1" spans="1:47" ht="14" customHeight="1" thickTop="1">
      <c r="A1" s="323" t="s">
        <v>131</v>
      </c>
      <c r="B1" s="348" t="s">
        <v>132</v>
      </c>
      <c r="C1" s="28"/>
      <c r="D1" s="72"/>
      <c r="E1" s="310" t="s">
        <v>220</v>
      </c>
      <c r="F1" s="311"/>
      <c r="G1" s="311"/>
      <c r="H1" s="311"/>
      <c r="I1" s="311"/>
      <c r="J1" s="312"/>
      <c r="K1" s="370" t="s">
        <v>162</v>
      </c>
      <c r="L1" s="310" t="s">
        <v>221</v>
      </c>
      <c r="M1" s="311"/>
      <c r="N1" s="311"/>
      <c r="O1" s="311"/>
      <c r="P1" s="311"/>
      <c r="Q1" s="312"/>
      <c r="R1" s="310" t="s">
        <v>222</v>
      </c>
      <c r="S1" s="311"/>
      <c r="T1" s="311"/>
      <c r="U1" s="311"/>
      <c r="V1" s="311"/>
      <c r="W1" s="312"/>
      <c r="X1" s="372" t="s">
        <v>162</v>
      </c>
      <c r="Y1" s="373"/>
      <c r="AA1" s="310" t="s">
        <v>224</v>
      </c>
      <c r="AB1" s="311"/>
      <c r="AC1" s="311"/>
      <c r="AD1" s="311"/>
      <c r="AE1" s="311"/>
      <c r="AF1" s="312"/>
      <c r="AG1" s="370" t="s">
        <v>162</v>
      </c>
      <c r="AH1" s="310" t="s">
        <v>225</v>
      </c>
      <c r="AI1" s="311"/>
      <c r="AJ1" s="311"/>
      <c r="AK1" s="311"/>
      <c r="AL1" s="311"/>
      <c r="AM1" s="312"/>
      <c r="AN1" s="310" t="s">
        <v>226</v>
      </c>
      <c r="AO1" s="311"/>
      <c r="AP1" s="311"/>
      <c r="AQ1" s="311"/>
      <c r="AR1" s="311"/>
      <c r="AS1" s="312"/>
      <c r="AT1" s="372" t="s">
        <v>162</v>
      </c>
      <c r="AU1" s="373"/>
    </row>
    <row r="2" spans="1:47" ht="26.25" customHeight="1" thickBot="1">
      <c r="A2" s="324"/>
      <c r="B2" s="349"/>
      <c r="C2" s="29"/>
      <c r="D2" s="73"/>
      <c r="E2" s="313"/>
      <c r="F2" s="314"/>
      <c r="G2" s="314"/>
      <c r="H2" s="314"/>
      <c r="I2" s="314"/>
      <c r="J2" s="315"/>
      <c r="K2" s="371"/>
      <c r="L2" s="313"/>
      <c r="M2" s="314"/>
      <c r="N2" s="314"/>
      <c r="O2" s="314"/>
      <c r="P2" s="314"/>
      <c r="Q2" s="315"/>
      <c r="R2" s="313"/>
      <c r="S2" s="314"/>
      <c r="T2" s="314"/>
      <c r="U2" s="314"/>
      <c r="V2" s="314"/>
      <c r="W2" s="315"/>
      <c r="X2" s="374"/>
      <c r="Y2" s="375"/>
      <c r="AA2" s="313"/>
      <c r="AB2" s="314"/>
      <c r="AC2" s="314"/>
      <c r="AD2" s="314"/>
      <c r="AE2" s="314"/>
      <c r="AF2" s="315"/>
      <c r="AG2" s="371"/>
      <c r="AH2" s="313"/>
      <c r="AI2" s="314"/>
      <c r="AJ2" s="314"/>
      <c r="AK2" s="314"/>
      <c r="AL2" s="314"/>
      <c r="AM2" s="315"/>
      <c r="AN2" s="313"/>
      <c r="AO2" s="314"/>
      <c r="AP2" s="314"/>
      <c r="AQ2" s="314"/>
      <c r="AR2" s="314"/>
      <c r="AS2" s="315"/>
      <c r="AT2" s="374"/>
      <c r="AU2" s="375"/>
    </row>
    <row r="3" spans="1:47" ht="14" customHeight="1" thickBot="1">
      <c r="A3" s="324"/>
      <c r="B3" s="349"/>
      <c r="C3" s="30" t="s">
        <v>0</v>
      </c>
      <c r="E3" s="337" t="s">
        <v>181</v>
      </c>
      <c r="F3" s="340" t="s">
        <v>1</v>
      </c>
      <c r="G3" s="341"/>
      <c r="H3" s="329" t="s">
        <v>134</v>
      </c>
      <c r="I3" s="329" t="s">
        <v>183</v>
      </c>
      <c r="J3" s="332" t="s">
        <v>135</v>
      </c>
      <c r="K3" s="382" t="s">
        <v>149</v>
      </c>
      <c r="L3" s="337" t="s">
        <v>181</v>
      </c>
      <c r="M3" s="340" t="s">
        <v>1</v>
      </c>
      <c r="N3" s="341"/>
      <c r="O3" s="329" t="s">
        <v>134</v>
      </c>
      <c r="P3" s="329" t="s">
        <v>183</v>
      </c>
      <c r="Q3" s="332" t="s">
        <v>135</v>
      </c>
      <c r="R3" s="337" t="s">
        <v>181</v>
      </c>
      <c r="S3" s="340" t="s">
        <v>1</v>
      </c>
      <c r="T3" s="341"/>
      <c r="U3" s="329" t="s">
        <v>134</v>
      </c>
      <c r="V3" s="329" t="s">
        <v>183</v>
      </c>
      <c r="W3" s="332" t="s">
        <v>135</v>
      </c>
      <c r="X3" s="376" t="s">
        <v>150</v>
      </c>
      <c r="Y3" s="379" t="s">
        <v>151</v>
      </c>
      <c r="AA3" s="354" t="s">
        <v>181</v>
      </c>
      <c r="AB3" s="357" t="s">
        <v>1</v>
      </c>
      <c r="AC3" s="358"/>
      <c r="AD3" s="351" t="s">
        <v>134</v>
      </c>
      <c r="AE3" s="351" t="s">
        <v>183</v>
      </c>
      <c r="AF3" s="359" t="s">
        <v>135</v>
      </c>
      <c r="AG3" s="382" t="s">
        <v>149</v>
      </c>
      <c r="AH3" s="354" t="s">
        <v>181</v>
      </c>
      <c r="AI3" s="357" t="s">
        <v>1</v>
      </c>
      <c r="AJ3" s="358"/>
      <c r="AK3" s="351" t="s">
        <v>134</v>
      </c>
      <c r="AL3" s="351" t="s">
        <v>183</v>
      </c>
      <c r="AM3" s="359" t="s">
        <v>135</v>
      </c>
      <c r="AN3" s="354" t="s">
        <v>181</v>
      </c>
      <c r="AO3" s="357" t="s">
        <v>1</v>
      </c>
      <c r="AP3" s="358"/>
      <c r="AQ3" s="351" t="s">
        <v>134</v>
      </c>
      <c r="AR3" s="351" t="s">
        <v>183</v>
      </c>
      <c r="AS3" s="359" t="s">
        <v>135</v>
      </c>
      <c r="AT3" s="376" t="s">
        <v>150</v>
      </c>
      <c r="AU3" s="379" t="s">
        <v>151</v>
      </c>
    </row>
    <row r="4" spans="1:47" ht="12.75" customHeight="1">
      <c r="A4" s="324"/>
      <c r="B4" s="349"/>
      <c r="C4" s="31" t="s">
        <v>2</v>
      </c>
      <c r="E4" s="338"/>
      <c r="F4" s="335" t="s">
        <v>182</v>
      </c>
      <c r="G4" s="329" t="s">
        <v>133</v>
      </c>
      <c r="H4" s="330"/>
      <c r="I4" s="330"/>
      <c r="J4" s="333"/>
      <c r="K4" s="383"/>
      <c r="L4" s="338"/>
      <c r="M4" s="335" t="s">
        <v>182</v>
      </c>
      <c r="N4" s="329" t="s">
        <v>133</v>
      </c>
      <c r="O4" s="330"/>
      <c r="P4" s="330"/>
      <c r="Q4" s="333"/>
      <c r="R4" s="338"/>
      <c r="S4" s="335" t="s">
        <v>182</v>
      </c>
      <c r="T4" s="329" t="s">
        <v>133</v>
      </c>
      <c r="U4" s="330"/>
      <c r="V4" s="330"/>
      <c r="W4" s="333"/>
      <c r="X4" s="377"/>
      <c r="Y4" s="380"/>
      <c r="AA4" s="355"/>
      <c r="AB4" s="362" t="s">
        <v>182</v>
      </c>
      <c r="AC4" s="351" t="s">
        <v>133</v>
      </c>
      <c r="AD4" s="352"/>
      <c r="AE4" s="352"/>
      <c r="AF4" s="360"/>
      <c r="AG4" s="383"/>
      <c r="AH4" s="355"/>
      <c r="AI4" s="362" t="s">
        <v>182</v>
      </c>
      <c r="AJ4" s="351" t="s">
        <v>133</v>
      </c>
      <c r="AK4" s="352"/>
      <c r="AL4" s="352"/>
      <c r="AM4" s="360"/>
      <c r="AN4" s="355"/>
      <c r="AO4" s="362" t="s">
        <v>182</v>
      </c>
      <c r="AP4" s="351" t="s">
        <v>133</v>
      </c>
      <c r="AQ4" s="352"/>
      <c r="AR4" s="352"/>
      <c r="AS4" s="360"/>
      <c r="AT4" s="377"/>
      <c r="AU4" s="380"/>
    </row>
    <row r="5" spans="1:47" ht="14" customHeight="1" thickBot="1">
      <c r="A5" s="325"/>
      <c r="B5" s="350"/>
      <c r="C5" s="32"/>
      <c r="E5" s="339"/>
      <c r="F5" s="336"/>
      <c r="G5" s="331"/>
      <c r="H5" s="331"/>
      <c r="I5" s="331"/>
      <c r="J5" s="334"/>
      <c r="K5" s="384"/>
      <c r="L5" s="339"/>
      <c r="M5" s="336"/>
      <c r="N5" s="331"/>
      <c r="O5" s="331"/>
      <c r="P5" s="331"/>
      <c r="Q5" s="334"/>
      <c r="R5" s="339"/>
      <c r="S5" s="336"/>
      <c r="T5" s="331"/>
      <c r="U5" s="331"/>
      <c r="V5" s="331"/>
      <c r="W5" s="334"/>
      <c r="X5" s="378"/>
      <c r="Y5" s="381"/>
      <c r="AA5" s="356"/>
      <c r="AB5" s="363"/>
      <c r="AC5" s="353"/>
      <c r="AD5" s="353"/>
      <c r="AE5" s="353"/>
      <c r="AF5" s="361"/>
      <c r="AG5" s="384"/>
      <c r="AH5" s="356"/>
      <c r="AI5" s="363"/>
      <c r="AJ5" s="353"/>
      <c r="AK5" s="353"/>
      <c r="AL5" s="353"/>
      <c r="AM5" s="361"/>
      <c r="AN5" s="356"/>
      <c r="AO5" s="363"/>
      <c r="AP5" s="353"/>
      <c r="AQ5" s="353"/>
      <c r="AR5" s="353"/>
      <c r="AS5" s="361"/>
      <c r="AT5" s="378"/>
      <c r="AU5" s="381"/>
    </row>
    <row r="6" spans="1:47" ht="18" customHeight="1" thickTop="1">
      <c r="A6" s="65">
        <v>301</v>
      </c>
      <c r="B6" s="68" t="s">
        <v>3</v>
      </c>
      <c r="C6" s="33" t="s">
        <v>4</v>
      </c>
      <c r="E6" s="75">
        <v>206171801</v>
      </c>
      <c r="F6" s="76">
        <v>9267356</v>
      </c>
      <c r="G6" s="76">
        <v>196904445</v>
      </c>
      <c r="H6" s="76">
        <v>420</v>
      </c>
      <c r="I6" s="76">
        <v>39068</v>
      </c>
      <c r="J6" s="77">
        <f t="shared" ref="J6:J39" si="0">RANK(I6,I$6:I$49,0)</f>
        <v>40</v>
      </c>
      <c r="K6" s="38"/>
      <c r="L6" s="75">
        <v>206171801</v>
      </c>
      <c r="M6" s="76">
        <v>9267356</v>
      </c>
      <c r="N6" s="76">
        <v>196904445</v>
      </c>
      <c r="O6" s="76">
        <v>420</v>
      </c>
      <c r="P6" s="76">
        <v>39068</v>
      </c>
      <c r="Q6" s="77">
        <f t="shared" ref="Q6:Q39" si="1">RANK(P6,P$6:P$49,0)</f>
        <v>41</v>
      </c>
      <c r="R6" s="75">
        <v>260753498</v>
      </c>
      <c r="S6" s="76">
        <v>8250553</v>
      </c>
      <c r="T6" s="76">
        <v>252502945</v>
      </c>
      <c r="U6" s="76">
        <v>403.07000000000005</v>
      </c>
      <c r="V6" s="76">
        <v>52204</v>
      </c>
      <c r="W6" s="77">
        <f t="shared" ref="W6:W39" si="2">RANK(V6,V$6:V$49,0)</f>
        <v>23</v>
      </c>
      <c r="X6" s="37">
        <v>115.9724901831718</v>
      </c>
      <c r="Y6" s="38">
        <v>102.40099406766075</v>
      </c>
      <c r="AA6" s="75">
        <v>249138546</v>
      </c>
      <c r="AB6" s="76">
        <v>9828956</v>
      </c>
      <c r="AC6" s="76">
        <v>239309590</v>
      </c>
      <c r="AD6" s="76">
        <v>420</v>
      </c>
      <c r="AE6" s="76">
        <v>47482</v>
      </c>
      <c r="AF6" s="77">
        <f t="shared" ref="AF6:AF42" si="3">RANK(AE6,AE$6:AE$49,0)</f>
        <v>32</v>
      </c>
      <c r="AG6" s="38"/>
      <c r="AH6" s="75">
        <v>249138546</v>
      </c>
      <c r="AI6" s="76">
        <v>9828956</v>
      </c>
      <c r="AJ6" s="76">
        <v>239309590</v>
      </c>
      <c r="AK6" s="76">
        <v>420</v>
      </c>
      <c r="AL6" s="76">
        <v>47482</v>
      </c>
      <c r="AM6" s="77">
        <f t="shared" ref="AM6:AM42" si="4">RANK(AL6,AL$6:AL$49,0)</f>
        <v>32</v>
      </c>
      <c r="AN6" s="75">
        <v>283004024</v>
      </c>
      <c r="AO6" s="76">
        <v>8388875</v>
      </c>
      <c r="AP6" s="76">
        <v>274615149</v>
      </c>
      <c r="AQ6" s="76">
        <v>407.5</v>
      </c>
      <c r="AR6" s="76">
        <v>56159</v>
      </c>
      <c r="AS6" s="77">
        <f t="shared" ref="AS6:AS39" si="5">RANK(AR6,AR$6:AR$49,0)</f>
        <v>21</v>
      </c>
      <c r="AT6" s="37"/>
      <c r="AU6" s="38"/>
    </row>
    <row r="7" spans="1:47" ht="18" customHeight="1">
      <c r="A7" s="65">
        <v>302</v>
      </c>
      <c r="B7" s="68" t="s">
        <v>5</v>
      </c>
      <c r="C7" s="33" t="s">
        <v>6</v>
      </c>
      <c r="E7" s="75">
        <v>552557633</v>
      </c>
      <c r="F7" s="76">
        <v>320950304</v>
      </c>
      <c r="G7" s="76">
        <v>231607329</v>
      </c>
      <c r="H7" s="76">
        <v>360</v>
      </c>
      <c r="I7" s="76">
        <v>53613</v>
      </c>
      <c r="J7" s="77">
        <f t="shared" si="0"/>
        <v>10</v>
      </c>
      <c r="K7" s="26"/>
      <c r="L7" s="24">
        <v>543589023</v>
      </c>
      <c r="M7" s="76">
        <v>311981694</v>
      </c>
      <c r="N7" s="76">
        <v>231607329</v>
      </c>
      <c r="O7" s="76">
        <v>360</v>
      </c>
      <c r="P7" s="14">
        <v>53613</v>
      </c>
      <c r="Q7" s="77">
        <f t="shared" si="1"/>
        <v>10</v>
      </c>
      <c r="R7" s="24">
        <v>542209624</v>
      </c>
      <c r="S7" s="76">
        <v>295407844</v>
      </c>
      <c r="T7" s="76">
        <v>246801780</v>
      </c>
      <c r="U7" s="76">
        <v>350.18</v>
      </c>
      <c r="V7" s="14">
        <v>58732</v>
      </c>
      <c r="W7" s="77">
        <f t="shared" si="2"/>
        <v>8</v>
      </c>
      <c r="X7" s="37">
        <v>110.61763319189062</v>
      </c>
      <c r="Y7" s="38">
        <v>106.00939815651545</v>
      </c>
      <c r="AA7" s="75">
        <v>608771243</v>
      </c>
      <c r="AB7" s="76">
        <v>365583548</v>
      </c>
      <c r="AC7" s="76">
        <v>243187695</v>
      </c>
      <c r="AD7" s="76">
        <v>360</v>
      </c>
      <c r="AE7" s="76">
        <v>56293</v>
      </c>
      <c r="AF7" s="77">
        <f t="shared" si="3"/>
        <v>9</v>
      </c>
      <c r="AG7" s="26"/>
      <c r="AH7" s="24">
        <v>608771243</v>
      </c>
      <c r="AI7" s="76">
        <v>350583548</v>
      </c>
      <c r="AJ7" s="76">
        <v>258187695</v>
      </c>
      <c r="AK7" s="76">
        <v>360</v>
      </c>
      <c r="AL7" s="14">
        <v>59766</v>
      </c>
      <c r="AM7" s="77">
        <f t="shared" si="4"/>
        <v>5</v>
      </c>
      <c r="AN7" s="24">
        <v>588409387</v>
      </c>
      <c r="AO7" s="76">
        <v>315948518</v>
      </c>
      <c r="AP7" s="76">
        <v>272460869</v>
      </c>
      <c r="AQ7" s="76">
        <v>353.85</v>
      </c>
      <c r="AR7" s="14">
        <v>64166</v>
      </c>
      <c r="AS7" s="77">
        <f t="shared" si="5"/>
        <v>9</v>
      </c>
      <c r="AT7" s="37"/>
      <c r="AU7" s="38"/>
    </row>
    <row r="8" spans="1:47" ht="18" customHeight="1">
      <c r="A8" s="65">
        <v>303</v>
      </c>
      <c r="B8" s="68" t="s">
        <v>7</v>
      </c>
      <c r="C8" s="33" t="s">
        <v>8</v>
      </c>
      <c r="E8" s="75">
        <v>269729032</v>
      </c>
      <c r="F8" s="76">
        <v>147988022</v>
      </c>
      <c r="G8" s="76">
        <v>121741010</v>
      </c>
      <c r="H8" s="76">
        <v>203</v>
      </c>
      <c r="I8" s="76">
        <v>49976</v>
      </c>
      <c r="J8" s="77">
        <f t="shared" si="0"/>
        <v>20</v>
      </c>
      <c r="K8" s="26"/>
      <c r="L8" s="24">
        <v>269729032</v>
      </c>
      <c r="M8" s="76">
        <v>147988022</v>
      </c>
      <c r="N8" s="76">
        <v>121741010</v>
      </c>
      <c r="O8" s="76">
        <v>203</v>
      </c>
      <c r="P8" s="14">
        <v>49976</v>
      </c>
      <c r="Q8" s="77">
        <f t="shared" si="1"/>
        <v>21</v>
      </c>
      <c r="R8" s="24">
        <v>257044581</v>
      </c>
      <c r="S8" s="76">
        <v>129848776</v>
      </c>
      <c r="T8" s="76">
        <v>127195805</v>
      </c>
      <c r="U8" s="76">
        <v>192.12</v>
      </c>
      <c r="V8" s="14">
        <v>55172</v>
      </c>
      <c r="W8" s="77">
        <f t="shared" si="2"/>
        <v>17</v>
      </c>
      <c r="X8" s="37">
        <v>111.50620170801137</v>
      </c>
      <c r="Y8" s="38">
        <v>105.97115872364067</v>
      </c>
      <c r="AA8" s="75">
        <v>285727130</v>
      </c>
      <c r="AB8" s="76">
        <v>149499069</v>
      </c>
      <c r="AC8" s="76">
        <v>136228061</v>
      </c>
      <c r="AD8" s="76">
        <v>203</v>
      </c>
      <c r="AE8" s="76">
        <v>55923</v>
      </c>
      <c r="AF8" s="77">
        <f t="shared" si="3"/>
        <v>13</v>
      </c>
      <c r="AG8" s="26"/>
      <c r="AH8" s="24">
        <v>285727130</v>
      </c>
      <c r="AI8" s="76">
        <v>149499069</v>
      </c>
      <c r="AJ8" s="76">
        <v>136228061</v>
      </c>
      <c r="AK8" s="76">
        <v>203</v>
      </c>
      <c r="AL8" s="14">
        <v>55923</v>
      </c>
      <c r="AM8" s="77">
        <f t="shared" si="4"/>
        <v>15</v>
      </c>
      <c r="AN8" s="24">
        <v>288969406</v>
      </c>
      <c r="AO8" s="76">
        <v>148353620</v>
      </c>
      <c r="AP8" s="76">
        <v>140615786</v>
      </c>
      <c r="AQ8" s="76">
        <v>191.55</v>
      </c>
      <c r="AR8" s="14">
        <v>61175</v>
      </c>
      <c r="AS8" s="77">
        <f t="shared" si="5"/>
        <v>11</v>
      </c>
      <c r="AT8" s="37"/>
      <c r="AU8" s="38"/>
    </row>
    <row r="9" spans="1:47" ht="18" customHeight="1">
      <c r="A9" s="65">
        <v>304</v>
      </c>
      <c r="B9" s="68" t="s">
        <v>9</v>
      </c>
      <c r="C9" s="33" t="s">
        <v>10</v>
      </c>
      <c r="E9" s="75">
        <v>465704149</v>
      </c>
      <c r="F9" s="76">
        <v>75110024</v>
      </c>
      <c r="G9" s="76">
        <v>390594125</v>
      </c>
      <c r="H9" s="76">
        <v>589</v>
      </c>
      <c r="I9" s="76">
        <v>55262</v>
      </c>
      <c r="J9" s="77">
        <f t="shared" si="0"/>
        <v>7</v>
      </c>
      <c r="K9" s="26"/>
      <c r="L9" s="24">
        <v>517187881</v>
      </c>
      <c r="M9" s="76">
        <v>85705212</v>
      </c>
      <c r="N9" s="76">
        <v>431482669</v>
      </c>
      <c r="O9" s="76">
        <v>583.79</v>
      </c>
      <c r="P9" s="14">
        <v>61592</v>
      </c>
      <c r="Q9" s="77">
        <f t="shared" si="1"/>
        <v>4</v>
      </c>
      <c r="R9" s="24">
        <v>512218563</v>
      </c>
      <c r="S9" s="76">
        <v>92244335</v>
      </c>
      <c r="T9" s="76">
        <v>419974228</v>
      </c>
      <c r="U9" s="76">
        <v>549.44000000000005</v>
      </c>
      <c r="V9" s="14">
        <v>63697</v>
      </c>
      <c r="W9" s="77">
        <f t="shared" si="2"/>
        <v>4</v>
      </c>
      <c r="X9" s="37">
        <v>104.23736565286987</v>
      </c>
      <c r="Y9" s="38">
        <v>104.32086051035587</v>
      </c>
      <c r="AA9" s="75">
        <v>504163458</v>
      </c>
      <c r="AB9" s="76">
        <v>91738048</v>
      </c>
      <c r="AC9" s="76">
        <v>412425410</v>
      </c>
      <c r="AD9" s="76">
        <v>596.5</v>
      </c>
      <c r="AE9" s="76">
        <v>57617</v>
      </c>
      <c r="AF9" s="77">
        <f t="shared" si="3"/>
        <v>8</v>
      </c>
      <c r="AG9" s="26"/>
      <c r="AH9" s="24">
        <v>507542726</v>
      </c>
      <c r="AI9" s="76">
        <v>89538748</v>
      </c>
      <c r="AJ9" s="76">
        <v>418003978</v>
      </c>
      <c r="AK9" s="76">
        <v>584.25</v>
      </c>
      <c r="AL9" s="14">
        <v>59621</v>
      </c>
      <c r="AM9" s="77">
        <f t="shared" si="4"/>
        <v>6</v>
      </c>
      <c r="AN9" s="24">
        <v>518695257</v>
      </c>
      <c r="AO9" s="76">
        <v>79745871</v>
      </c>
      <c r="AP9" s="76">
        <v>438949386</v>
      </c>
      <c r="AQ9" s="76">
        <v>540.19000000000005</v>
      </c>
      <c r="AR9" s="14">
        <v>67715</v>
      </c>
      <c r="AS9" s="77">
        <f t="shared" si="5"/>
        <v>4</v>
      </c>
      <c r="AT9" s="37"/>
      <c r="AU9" s="38"/>
    </row>
    <row r="10" spans="1:47" ht="18" customHeight="1">
      <c r="A10" s="65">
        <v>306</v>
      </c>
      <c r="B10" s="68" t="s">
        <v>11</v>
      </c>
      <c r="C10" s="33" t="s">
        <v>12</v>
      </c>
      <c r="E10" s="75">
        <v>1162402381</v>
      </c>
      <c r="F10" s="76">
        <v>9538950</v>
      </c>
      <c r="G10" s="76">
        <v>1152863431</v>
      </c>
      <c r="H10" s="76">
        <v>2151</v>
      </c>
      <c r="I10" s="76">
        <v>44664</v>
      </c>
      <c r="J10" s="77">
        <f t="shared" si="0"/>
        <v>28</v>
      </c>
      <c r="K10" s="26"/>
      <c r="L10" s="24">
        <v>1162198781</v>
      </c>
      <c r="M10" s="76">
        <v>9538950</v>
      </c>
      <c r="N10" s="76">
        <v>1152659831</v>
      </c>
      <c r="O10" s="76">
        <v>2150.66</v>
      </c>
      <c r="P10" s="14">
        <v>44663</v>
      </c>
      <c r="Q10" s="77">
        <f t="shared" si="1"/>
        <v>32</v>
      </c>
      <c r="R10" s="24">
        <v>1150819473</v>
      </c>
      <c r="S10" s="76">
        <v>10374940</v>
      </c>
      <c r="T10" s="76">
        <v>1140444533</v>
      </c>
      <c r="U10" s="76">
        <v>1936.4</v>
      </c>
      <c r="V10" s="14">
        <v>49079</v>
      </c>
      <c r="W10" s="77">
        <f t="shared" si="2"/>
        <v>28</v>
      </c>
      <c r="X10" s="37">
        <v>109.78019762048801</v>
      </c>
      <c r="Y10" s="38">
        <v>107.73188590167642</v>
      </c>
      <c r="AA10" s="75">
        <v>1218786299</v>
      </c>
      <c r="AB10" s="76">
        <v>9859350</v>
      </c>
      <c r="AC10" s="76">
        <v>1208926949</v>
      </c>
      <c r="AD10" s="76">
        <v>2149</v>
      </c>
      <c r="AE10" s="76">
        <v>46879</v>
      </c>
      <c r="AF10" s="77">
        <f t="shared" si="3"/>
        <v>34</v>
      </c>
      <c r="AG10" s="26"/>
      <c r="AH10" s="24">
        <v>1215213280</v>
      </c>
      <c r="AI10" s="76">
        <v>12322846</v>
      </c>
      <c r="AJ10" s="76">
        <v>1202890434</v>
      </c>
      <c r="AK10" s="76">
        <v>2149.58</v>
      </c>
      <c r="AL10" s="14">
        <v>46633</v>
      </c>
      <c r="AM10" s="77">
        <f t="shared" si="4"/>
        <v>34</v>
      </c>
      <c r="AN10" s="24">
        <v>1203727497.3900001</v>
      </c>
      <c r="AO10" s="76">
        <v>9684006.3900000006</v>
      </c>
      <c r="AP10" s="76">
        <v>1194043491</v>
      </c>
      <c r="AQ10" s="76">
        <v>1945.75</v>
      </c>
      <c r="AR10" s="14">
        <v>51139</v>
      </c>
      <c r="AS10" s="77">
        <f t="shared" si="5"/>
        <v>33</v>
      </c>
      <c r="AT10" s="37"/>
      <c r="AU10" s="38"/>
    </row>
    <row r="11" spans="1:47" ht="18" customHeight="1">
      <c r="A11" s="65">
        <v>307</v>
      </c>
      <c r="B11" s="68" t="s">
        <v>13</v>
      </c>
      <c r="C11" s="33" t="s">
        <v>14</v>
      </c>
      <c r="E11" s="75">
        <v>21953327619</v>
      </c>
      <c r="F11" s="76">
        <v>1488540656</v>
      </c>
      <c r="G11" s="76">
        <v>20464786963</v>
      </c>
      <c r="H11" s="76">
        <v>38691</v>
      </c>
      <c r="I11" s="76">
        <v>44077</v>
      </c>
      <c r="J11" s="77">
        <f t="shared" si="0"/>
        <v>31</v>
      </c>
      <c r="K11" s="26"/>
      <c r="L11" s="24">
        <v>22471921037</v>
      </c>
      <c r="M11" s="76">
        <v>1576083689</v>
      </c>
      <c r="N11" s="76">
        <v>20895837348</v>
      </c>
      <c r="O11" s="76">
        <v>38691</v>
      </c>
      <c r="P11" s="14">
        <v>45006</v>
      </c>
      <c r="Q11" s="77">
        <f t="shared" si="1"/>
        <v>31</v>
      </c>
      <c r="R11" s="24">
        <v>21776562396.27</v>
      </c>
      <c r="S11" s="76">
        <v>1531705258.7900002</v>
      </c>
      <c r="T11" s="76">
        <v>20244857137.48</v>
      </c>
      <c r="U11" s="76">
        <v>36749.729999999996</v>
      </c>
      <c r="V11" s="14">
        <v>45907</v>
      </c>
      <c r="W11" s="77">
        <f t="shared" si="2"/>
        <v>35</v>
      </c>
      <c r="X11" s="37">
        <v>102.38594571593569</v>
      </c>
      <c r="Y11" s="38">
        <v>107.16421708977539</v>
      </c>
      <c r="AA11" s="75">
        <v>24013544242</v>
      </c>
      <c r="AB11" s="76">
        <v>1486646458</v>
      </c>
      <c r="AC11" s="76">
        <v>22526897784</v>
      </c>
      <c r="AD11" s="76">
        <v>39881</v>
      </c>
      <c r="AE11" s="76">
        <v>47071</v>
      </c>
      <c r="AF11" s="77">
        <f t="shared" si="3"/>
        <v>33</v>
      </c>
      <c r="AG11" s="26"/>
      <c r="AH11" s="24">
        <v>23395303305</v>
      </c>
      <c r="AI11" s="76">
        <v>1491270608</v>
      </c>
      <c r="AJ11" s="76">
        <v>21904032697</v>
      </c>
      <c r="AK11" s="76">
        <v>39881</v>
      </c>
      <c r="AL11" s="14">
        <v>45770</v>
      </c>
      <c r="AM11" s="77">
        <f t="shared" si="4"/>
        <v>36</v>
      </c>
      <c r="AN11" s="24">
        <v>23614966785.68</v>
      </c>
      <c r="AO11" s="76">
        <v>1530025361.72</v>
      </c>
      <c r="AP11" s="76">
        <v>22084941423.959999</v>
      </c>
      <c r="AQ11" s="76">
        <v>37394.520000000004</v>
      </c>
      <c r="AR11" s="14">
        <v>49216</v>
      </c>
      <c r="AS11" s="77">
        <f t="shared" si="5"/>
        <v>36</v>
      </c>
      <c r="AT11" s="37"/>
      <c r="AU11" s="38"/>
    </row>
    <row r="12" spans="1:47" ht="18" customHeight="1">
      <c r="A12" s="65">
        <v>308</v>
      </c>
      <c r="B12" s="68" t="s">
        <v>80</v>
      </c>
      <c r="C12" s="33" t="s">
        <v>81</v>
      </c>
      <c r="E12" s="75">
        <v>169118073</v>
      </c>
      <c r="F12" s="76">
        <v>1420438</v>
      </c>
      <c r="G12" s="76">
        <v>167697635</v>
      </c>
      <c r="H12" s="76">
        <v>262</v>
      </c>
      <c r="I12" s="76">
        <v>53339</v>
      </c>
      <c r="J12" s="77">
        <f t="shared" si="0"/>
        <v>11</v>
      </c>
      <c r="K12" s="26"/>
      <c r="L12" s="24">
        <v>171118073</v>
      </c>
      <c r="M12" s="76">
        <v>1420438</v>
      </c>
      <c r="N12" s="76">
        <v>169697635</v>
      </c>
      <c r="O12" s="76">
        <v>262</v>
      </c>
      <c r="P12" s="14">
        <v>53975</v>
      </c>
      <c r="Q12" s="77">
        <f t="shared" si="1"/>
        <v>9</v>
      </c>
      <c r="R12" s="24">
        <v>163305774</v>
      </c>
      <c r="S12" s="76">
        <v>1287300</v>
      </c>
      <c r="T12" s="76">
        <v>162018474</v>
      </c>
      <c r="U12" s="76">
        <v>235.18</v>
      </c>
      <c r="V12" s="14">
        <v>57409</v>
      </c>
      <c r="W12" s="77">
        <f t="shared" si="2"/>
        <v>11</v>
      </c>
      <c r="X12" s="37">
        <v>114.1763572978376</v>
      </c>
      <c r="Y12" s="38">
        <v>107.49139316043149</v>
      </c>
      <c r="AA12" s="75">
        <v>177502955</v>
      </c>
      <c r="AB12" s="76">
        <v>1420438</v>
      </c>
      <c r="AC12" s="76">
        <v>176082517</v>
      </c>
      <c r="AD12" s="76">
        <v>262</v>
      </c>
      <c r="AE12" s="76">
        <v>56006</v>
      </c>
      <c r="AF12" s="77">
        <f t="shared" si="3"/>
        <v>11</v>
      </c>
      <c r="AG12" s="26"/>
      <c r="AH12" s="24">
        <v>184411290</v>
      </c>
      <c r="AI12" s="76">
        <v>1420438</v>
      </c>
      <c r="AJ12" s="76">
        <v>182990852</v>
      </c>
      <c r="AK12" s="76">
        <v>262</v>
      </c>
      <c r="AL12" s="14">
        <v>58203</v>
      </c>
      <c r="AM12" s="77">
        <f t="shared" si="4"/>
        <v>8</v>
      </c>
      <c r="AN12" s="24">
        <v>182091638</v>
      </c>
      <c r="AO12" s="76">
        <v>2626566</v>
      </c>
      <c r="AP12" s="76">
        <v>179465072</v>
      </c>
      <c r="AQ12" s="76">
        <v>232.85</v>
      </c>
      <c r="AR12" s="14">
        <v>64228</v>
      </c>
      <c r="AS12" s="77">
        <f t="shared" si="5"/>
        <v>8</v>
      </c>
      <c r="AT12" s="37"/>
      <c r="AU12" s="38"/>
    </row>
    <row r="13" spans="1:47" ht="18" customHeight="1">
      <c r="A13" s="65">
        <v>309</v>
      </c>
      <c r="B13" s="68" t="s">
        <v>82</v>
      </c>
      <c r="C13" s="33" t="s">
        <v>201</v>
      </c>
      <c r="E13" s="75">
        <v>91264225</v>
      </c>
      <c r="F13" s="76">
        <v>7993580</v>
      </c>
      <c r="G13" s="76">
        <v>83270645</v>
      </c>
      <c r="H13" s="76">
        <v>154</v>
      </c>
      <c r="I13" s="76">
        <v>45060</v>
      </c>
      <c r="J13" s="77">
        <f t="shared" si="0"/>
        <v>27</v>
      </c>
      <c r="K13" s="26"/>
      <c r="L13" s="24">
        <v>94264225</v>
      </c>
      <c r="M13" s="76">
        <v>7993580</v>
      </c>
      <c r="N13" s="76">
        <v>86270645</v>
      </c>
      <c r="O13" s="76">
        <v>154</v>
      </c>
      <c r="P13" s="14">
        <v>46683</v>
      </c>
      <c r="Q13" s="77">
        <f t="shared" si="1"/>
        <v>25</v>
      </c>
      <c r="R13" s="24">
        <v>95891501.5</v>
      </c>
      <c r="S13" s="76">
        <v>9088750</v>
      </c>
      <c r="T13" s="76">
        <v>86802751.5</v>
      </c>
      <c r="U13" s="76">
        <v>153.11000000000001</v>
      </c>
      <c r="V13" s="14">
        <v>47244</v>
      </c>
      <c r="W13" s="77">
        <f t="shared" si="2"/>
        <v>34</v>
      </c>
      <c r="X13" s="37">
        <v>100.58525271050217</v>
      </c>
      <c r="Y13" s="38">
        <v>104.34502825807172</v>
      </c>
      <c r="AA13" s="75">
        <v>107206357</v>
      </c>
      <c r="AB13" s="76">
        <v>12010580</v>
      </c>
      <c r="AC13" s="76">
        <v>95195777</v>
      </c>
      <c r="AD13" s="76">
        <v>154</v>
      </c>
      <c r="AE13" s="76">
        <v>51513</v>
      </c>
      <c r="AF13" s="77">
        <f t="shared" si="3"/>
        <v>24</v>
      </c>
      <c r="AG13" s="26"/>
      <c r="AH13" s="24">
        <v>110204414</v>
      </c>
      <c r="AI13" s="76">
        <v>12010580</v>
      </c>
      <c r="AJ13" s="76">
        <v>98193834</v>
      </c>
      <c r="AK13" s="76">
        <v>158.85</v>
      </c>
      <c r="AL13" s="14">
        <v>51513</v>
      </c>
      <c r="AM13" s="77">
        <f t="shared" si="4"/>
        <v>23</v>
      </c>
      <c r="AN13" s="24">
        <v>107157324.37</v>
      </c>
      <c r="AO13" s="76">
        <v>9284877</v>
      </c>
      <c r="AP13" s="76">
        <v>97872447.370000005</v>
      </c>
      <c r="AQ13" s="76">
        <v>156.77000000000001</v>
      </c>
      <c r="AR13" s="14">
        <v>52025</v>
      </c>
      <c r="AS13" s="77">
        <f t="shared" si="5"/>
        <v>31</v>
      </c>
      <c r="AT13" s="37"/>
      <c r="AU13" s="38"/>
    </row>
    <row r="14" spans="1:47" ht="18" customHeight="1">
      <c r="A14" s="65">
        <v>312</v>
      </c>
      <c r="B14" s="68" t="s">
        <v>15</v>
      </c>
      <c r="C14" s="33" t="s">
        <v>16</v>
      </c>
      <c r="E14" s="75">
        <v>13038946442</v>
      </c>
      <c r="F14" s="76">
        <v>57330478</v>
      </c>
      <c r="G14" s="76">
        <v>12981615964</v>
      </c>
      <c r="H14" s="76">
        <v>23458</v>
      </c>
      <c r="I14" s="76">
        <v>46117</v>
      </c>
      <c r="J14" s="77">
        <f t="shared" si="0"/>
        <v>26</v>
      </c>
      <c r="K14" s="26"/>
      <c r="L14" s="24">
        <v>13049114063</v>
      </c>
      <c r="M14" s="76">
        <v>58254903</v>
      </c>
      <c r="N14" s="76">
        <v>12990859160</v>
      </c>
      <c r="O14" s="76">
        <v>23456.87</v>
      </c>
      <c r="P14" s="14">
        <v>46152</v>
      </c>
      <c r="Q14" s="77">
        <f t="shared" si="1"/>
        <v>28</v>
      </c>
      <c r="R14" s="24">
        <v>12739509929.049999</v>
      </c>
      <c r="S14" s="76">
        <v>76307371</v>
      </c>
      <c r="T14" s="76">
        <v>12663202558.049999</v>
      </c>
      <c r="U14" s="76">
        <v>21604.61</v>
      </c>
      <c r="V14" s="14">
        <v>48845</v>
      </c>
      <c r="W14" s="77">
        <f t="shared" si="2"/>
        <v>30</v>
      </c>
      <c r="X14" s="37">
        <v>108.22807852801972</v>
      </c>
      <c r="Y14" s="38">
        <v>113.69854953073053</v>
      </c>
      <c r="AA14" s="75">
        <v>13698338262</v>
      </c>
      <c r="AB14" s="76">
        <v>57080922</v>
      </c>
      <c r="AC14" s="76">
        <v>13641257340</v>
      </c>
      <c r="AD14" s="76">
        <v>23308.666666666664</v>
      </c>
      <c r="AE14" s="76">
        <v>48770</v>
      </c>
      <c r="AF14" s="77">
        <f t="shared" si="3"/>
        <v>30</v>
      </c>
      <c r="AG14" s="26"/>
      <c r="AH14" s="24">
        <v>13312889256</v>
      </c>
      <c r="AI14" s="76">
        <v>61477124</v>
      </c>
      <c r="AJ14" s="76">
        <v>13251412132</v>
      </c>
      <c r="AK14" s="76">
        <v>23323</v>
      </c>
      <c r="AL14" s="14">
        <v>47347</v>
      </c>
      <c r="AM14" s="77">
        <f t="shared" si="4"/>
        <v>33</v>
      </c>
      <c r="AN14" s="24">
        <v>13228378082.74</v>
      </c>
      <c r="AO14" s="76">
        <v>47861289</v>
      </c>
      <c r="AP14" s="76">
        <v>13180516793.74</v>
      </c>
      <c r="AQ14" s="76">
        <v>21323.57</v>
      </c>
      <c r="AR14" s="14">
        <v>51510</v>
      </c>
      <c r="AS14" s="77">
        <f t="shared" si="5"/>
        <v>32</v>
      </c>
      <c r="AT14" s="37"/>
      <c r="AU14" s="38"/>
    </row>
    <row r="15" spans="1:47" ht="18" customHeight="1">
      <c r="A15" s="65">
        <v>313</v>
      </c>
      <c r="B15" s="68" t="s">
        <v>17</v>
      </c>
      <c r="C15" s="33" t="s">
        <v>18</v>
      </c>
      <c r="E15" s="75">
        <v>9333365843</v>
      </c>
      <c r="F15" s="76">
        <v>53402724</v>
      </c>
      <c r="G15" s="76">
        <v>9279963119</v>
      </c>
      <c r="H15" s="76">
        <v>22717.550000000003</v>
      </c>
      <c r="I15" s="76">
        <v>34041</v>
      </c>
      <c r="J15" s="77">
        <f t="shared" si="0"/>
        <v>44</v>
      </c>
      <c r="K15" s="26"/>
      <c r="L15" s="24">
        <v>10696626917</v>
      </c>
      <c r="M15" s="76">
        <v>253439469</v>
      </c>
      <c r="N15" s="76">
        <v>10443187448</v>
      </c>
      <c r="O15" s="76">
        <v>21889.25</v>
      </c>
      <c r="P15" s="14">
        <v>39758</v>
      </c>
      <c r="Q15" s="77">
        <f t="shared" si="1"/>
        <v>40</v>
      </c>
      <c r="R15" s="24">
        <v>10684640316.74</v>
      </c>
      <c r="S15" s="76">
        <v>239195812</v>
      </c>
      <c r="T15" s="76">
        <v>10445444504.74</v>
      </c>
      <c r="U15" s="76">
        <v>20942.540000000005</v>
      </c>
      <c r="V15" s="14">
        <v>41564</v>
      </c>
      <c r="W15" s="77">
        <f t="shared" si="2"/>
        <v>41</v>
      </c>
      <c r="X15" s="37">
        <v>103.65293474298214</v>
      </c>
      <c r="Y15" s="38">
        <v>107.45681998563816</v>
      </c>
      <c r="AA15" s="75">
        <v>10077513117</v>
      </c>
      <c r="AB15" s="76">
        <v>102266077</v>
      </c>
      <c r="AC15" s="76">
        <v>9975247040</v>
      </c>
      <c r="AD15" s="76">
        <v>22100</v>
      </c>
      <c r="AE15" s="76">
        <v>37614</v>
      </c>
      <c r="AF15" s="77">
        <f t="shared" si="3"/>
        <v>43</v>
      </c>
      <c r="AG15" s="26"/>
      <c r="AH15" s="24">
        <v>10983290523</v>
      </c>
      <c r="AI15" s="76">
        <v>122058620</v>
      </c>
      <c r="AJ15" s="76">
        <v>10861231903</v>
      </c>
      <c r="AK15" s="76">
        <v>21919.200000000001</v>
      </c>
      <c r="AL15" s="14">
        <v>41293</v>
      </c>
      <c r="AM15" s="77">
        <f t="shared" si="4"/>
        <v>42</v>
      </c>
      <c r="AN15" s="24">
        <v>10864001874.02</v>
      </c>
      <c r="AO15" s="76">
        <v>121391225</v>
      </c>
      <c r="AP15" s="76">
        <v>10742610649.02</v>
      </c>
      <c r="AQ15" s="76">
        <v>20511.990000000002</v>
      </c>
      <c r="AR15" s="14">
        <v>43644</v>
      </c>
      <c r="AS15" s="77">
        <f t="shared" si="5"/>
        <v>42</v>
      </c>
      <c r="AT15" s="37"/>
      <c r="AU15" s="38"/>
    </row>
    <row r="16" spans="1:47" ht="18" customHeight="1">
      <c r="A16" s="65">
        <v>314</v>
      </c>
      <c r="B16" s="68" t="s">
        <v>19</v>
      </c>
      <c r="C16" s="33" t="s">
        <v>20</v>
      </c>
      <c r="E16" s="75">
        <v>41411281211</v>
      </c>
      <c r="F16" s="76">
        <v>379056240</v>
      </c>
      <c r="G16" s="76">
        <v>41032224971</v>
      </c>
      <c r="H16" s="76">
        <v>73882.829999999987</v>
      </c>
      <c r="I16" s="76">
        <v>46281</v>
      </c>
      <c r="J16" s="77">
        <f t="shared" si="0"/>
        <v>25</v>
      </c>
      <c r="K16" s="26"/>
      <c r="L16" s="24">
        <v>42066145769</v>
      </c>
      <c r="M16" s="76">
        <v>597912182</v>
      </c>
      <c r="N16" s="76">
        <v>41468233587</v>
      </c>
      <c r="O16" s="76">
        <v>74165.570000000007</v>
      </c>
      <c r="P16" s="14">
        <v>46594</v>
      </c>
      <c r="Q16" s="77">
        <f t="shared" si="1"/>
        <v>26</v>
      </c>
      <c r="R16" s="24">
        <v>42140096015.30999</v>
      </c>
      <c r="S16" s="76">
        <v>628250904.13</v>
      </c>
      <c r="T16" s="76">
        <v>41511845111.179993</v>
      </c>
      <c r="U16" s="76">
        <v>67090.19</v>
      </c>
      <c r="V16" s="14">
        <v>51562</v>
      </c>
      <c r="W16" s="77">
        <f t="shared" si="2"/>
        <v>25</v>
      </c>
      <c r="X16" s="37">
        <v>104.15273922157384</v>
      </c>
      <c r="Y16" s="38">
        <v>109.31470194737625</v>
      </c>
      <c r="AA16" s="75">
        <v>44532705533</v>
      </c>
      <c r="AB16" s="76">
        <v>471077671</v>
      </c>
      <c r="AC16" s="76">
        <v>44061627862</v>
      </c>
      <c r="AD16" s="76">
        <v>74119.87999999999</v>
      </c>
      <c r="AE16" s="76">
        <v>49539</v>
      </c>
      <c r="AF16" s="77">
        <f t="shared" si="3"/>
        <v>26</v>
      </c>
      <c r="AG16" s="26"/>
      <c r="AH16" s="24">
        <v>45364390973</v>
      </c>
      <c r="AI16" s="76">
        <v>591906342</v>
      </c>
      <c r="AJ16" s="76">
        <v>44772484631</v>
      </c>
      <c r="AK16" s="76">
        <v>74123.759999999995</v>
      </c>
      <c r="AL16" s="14">
        <v>50335</v>
      </c>
      <c r="AM16" s="77">
        <f t="shared" si="4"/>
        <v>26</v>
      </c>
      <c r="AN16" s="24">
        <v>45334838311.050003</v>
      </c>
      <c r="AO16" s="76">
        <v>675917622.63</v>
      </c>
      <c r="AP16" s="76">
        <v>44658920688.420006</v>
      </c>
      <c r="AQ16" s="76">
        <v>67216.039999999994</v>
      </c>
      <c r="AR16" s="14">
        <v>55367</v>
      </c>
      <c r="AS16" s="77">
        <f t="shared" si="5"/>
        <v>23</v>
      </c>
      <c r="AT16" s="37"/>
      <c r="AU16" s="38"/>
    </row>
    <row r="17" spans="1:47" ht="18" customHeight="1">
      <c r="A17" s="65">
        <v>315</v>
      </c>
      <c r="B17" s="68" t="s">
        <v>21</v>
      </c>
      <c r="C17" s="33" t="s">
        <v>22</v>
      </c>
      <c r="E17" s="75">
        <v>1944706412</v>
      </c>
      <c r="F17" s="76">
        <v>62555590</v>
      </c>
      <c r="G17" s="76">
        <v>1882150822</v>
      </c>
      <c r="H17" s="76">
        <v>3556.53</v>
      </c>
      <c r="I17" s="76">
        <v>44101</v>
      </c>
      <c r="J17" s="77">
        <f t="shared" si="0"/>
        <v>30</v>
      </c>
      <c r="K17" s="26"/>
      <c r="L17" s="24">
        <v>2100034101</v>
      </c>
      <c r="M17" s="76">
        <v>95126225</v>
      </c>
      <c r="N17" s="76">
        <v>2004907876</v>
      </c>
      <c r="O17" s="76">
        <v>3648.14</v>
      </c>
      <c r="P17" s="14">
        <v>45797</v>
      </c>
      <c r="Q17" s="77">
        <f t="shared" si="1"/>
        <v>30</v>
      </c>
      <c r="R17" s="24">
        <v>2147727697.8200002</v>
      </c>
      <c r="S17" s="76">
        <v>91307104.819999993</v>
      </c>
      <c r="T17" s="76">
        <v>2056420593</v>
      </c>
      <c r="U17" s="76">
        <v>3501.9500000000003</v>
      </c>
      <c r="V17" s="14">
        <v>48935</v>
      </c>
      <c r="W17" s="77">
        <f t="shared" si="2"/>
        <v>29</v>
      </c>
      <c r="X17" s="37">
        <v>103.33994334277621</v>
      </c>
      <c r="Y17" s="38">
        <v>108.21417976861466</v>
      </c>
      <c r="AA17" s="75">
        <v>2159699558</v>
      </c>
      <c r="AB17" s="76">
        <v>67270455</v>
      </c>
      <c r="AC17" s="76">
        <v>2092429103</v>
      </c>
      <c r="AD17" s="76">
        <v>3660.61</v>
      </c>
      <c r="AE17" s="76">
        <v>47634</v>
      </c>
      <c r="AF17" s="77">
        <f t="shared" si="3"/>
        <v>31</v>
      </c>
      <c r="AG17" s="26"/>
      <c r="AH17" s="24">
        <v>2196057349</v>
      </c>
      <c r="AI17" s="76">
        <v>80460850</v>
      </c>
      <c r="AJ17" s="76">
        <v>2115596499</v>
      </c>
      <c r="AK17" s="76">
        <v>3700.5199999999995</v>
      </c>
      <c r="AL17" s="14">
        <v>47642</v>
      </c>
      <c r="AM17" s="77">
        <f t="shared" si="4"/>
        <v>31</v>
      </c>
      <c r="AN17" s="24">
        <v>2357403134.5099998</v>
      </c>
      <c r="AO17" s="76">
        <v>99208464.769999996</v>
      </c>
      <c r="AP17" s="76">
        <v>2258194669.7399998</v>
      </c>
      <c r="AQ17" s="76">
        <v>3597.7299999999996</v>
      </c>
      <c r="AR17" s="14">
        <v>52306</v>
      </c>
      <c r="AS17" s="77">
        <f t="shared" si="5"/>
        <v>29</v>
      </c>
      <c r="AT17" s="37"/>
      <c r="AU17" s="38"/>
    </row>
    <row r="18" spans="1:47" ht="18" customHeight="1">
      <c r="A18" s="65">
        <v>317</v>
      </c>
      <c r="B18" s="68" t="s">
        <v>23</v>
      </c>
      <c r="C18" s="33" t="s">
        <v>24</v>
      </c>
      <c r="E18" s="75">
        <v>1000445063</v>
      </c>
      <c r="F18" s="76">
        <v>81034098</v>
      </c>
      <c r="G18" s="76">
        <v>919410965</v>
      </c>
      <c r="H18" s="76">
        <v>1485.11</v>
      </c>
      <c r="I18" s="76">
        <v>51591</v>
      </c>
      <c r="J18" s="77">
        <f t="shared" si="0"/>
        <v>14</v>
      </c>
      <c r="K18" s="26"/>
      <c r="L18" s="24">
        <v>1054352416</v>
      </c>
      <c r="M18" s="76">
        <v>88293046</v>
      </c>
      <c r="N18" s="76">
        <v>966059370</v>
      </c>
      <c r="O18" s="76">
        <v>1549.1399999999999</v>
      </c>
      <c r="P18" s="14">
        <v>51968</v>
      </c>
      <c r="Q18" s="77">
        <f t="shared" si="1"/>
        <v>16</v>
      </c>
      <c r="R18" s="24">
        <v>1003299103.01</v>
      </c>
      <c r="S18" s="76">
        <v>55977086.009999998</v>
      </c>
      <c r="T18" s="76">
        <v>947322017</v>
      </c>
      <c r="U18" s="76">
        <v>1387.6100000000001</v>
      </c>
      <c r="V18" s="14">
        <v>56892</v>
      </c>
      <c r="W18" s="77">
        <f t="shared" si="2"/>
        <v>13</v>
      </c>
      <c r="X18" s="37">
        <v>101.40488901376791</v>
      </c>
      <c r="Y18" s="38">
        <v>110.21141649048624</v>
      </c>
      <c r="AA18" s="75">
        <v>1056376130</v>
      </c>
      <c r="AB18" s="76">
        <v>75206475</v>
      </c>
      <c r="AC18" s="76">
        <v>981169655</v>
      </c>
      <c r="AD18" s="76">
        <v>1516.24</v>
      </c>
      <c r="AE18" s="76">
        <v>53926</v>
      </c>
      <c r="AF18" s="77">
        <f t="shared" si="3"/>
        <v>18</v>
      </c>
      <c r="AG18" s="26"/>
      <c r="AH18" s="24">
        <v>1111527590</v>
      </c>
      <c r="AI18" s="76">
        <v>85996604</v>
      </c>
      <c r="AJ18" s="76">
        <v>1025530986</v>
      </c>
      <c r="AK18" s="76">
        <v>1576.24</v>
      </c>
      <c r="AL18" s="14">
        <v>54218</v>
      </c>
      <c r="AM18" s="77">
        <f t="shared" si="4"/>
        <v>18</v>
      </c>
      <c r="AN18" s="24">
        <v>1051058325.99</v>
      </c>
      <c r="AO18" s="76">
        <v>62058525.999999985</v>
      </c>
      <c r="AP18" s="76">
        <v>988999799.99000001</v>
      </c>
      <c r="AQ18" s="76">
        <v>1364.87</v>
      </c>
      <c r="AR18" s="14">
        <v>60384</v>
      </c>
      <c r="AS18" s="77">
        <f t="shared" si="5"/>
        <v>13</v>
      </c>
      <c r="AT18" s="37"/>
      <c r="AU18" s="38"/>
    </row>
    <row r="19" spans="1:47" ht="18" customHeight="1">
      <c r="A19" s="65">
        <v>321</v>
      </c>
      <c r="B19" s="68" t="s">
        <v>25</v>
      </c>
      <c r="C19" s="33" t="s">
        <v>26</v>
      </c>
      <c r="E19" s="75">
        <v>51811866</v>
      </c>
      <c r="F19" s="76">
        <v>18741881</v>
      </c>
      <c r="G19" s="76">
        <v>33069985</v>
      </c>
      <c r="H19" s="76">
        <v>59</v>
      </c>
      <c r="I19" s="76">
        <v>46709</v>
      </c>
      <c r="J19" s="77">
        <f t="shared" si="0"/>
        <v>23</v>
      </c>
      <c r="K19" s="26"/>
      <c r="L19" s="24">
        <v>56811866</v>
      </c>
      <c r="M19" s="76">
        <v>23741881</v>
      </c>
      <c r="N19" s="76">
        <v>33069985</v>
      </c>
      <c r="O19" s="76">
        <v>59</v>
      </c>
      <c r="P19" s="14">
        <v>46709</v>
      </c>
      <c r="Q19" s="77">
        <f t="shared" si="1"/>
        <v>24</v>
      </c>
      <c r="R19" s="24">
        <v>61659460</v>
      </c>
      <c r="S19" s="76">
        <v>24860263</v>
      </c>
      <c r="T19" s="76">
        <v>36799197</v>
      </c>
      <c r="U19" s="76">
        <v>56.28</v>
      </c>
      <c r="V19" s="14">
        <v>54488</v>
      </c>
      <c r="W19" s="77">
        <f t="shared" si="2"/>
        <v>18</v>
      </c>
      <c r="X19" s="37">
        <v>106.18316491709999</v>
      </c>
      <c r="Y19" s="38">
        <v>110.85420187432786</v>
      </c>
      <c r="AA19" s="75">
        <v>56408032</v>
      </c>
      <c r="AB19" s="76">
        <v>18741881</v>
      </c>
      <c r="AC19" s="76">
        <v>37666151</v>
      </c>
      <c r="AD19" s="76">
        <v>64</v>
      </c>
      <c r="AE19" s="76">
        <v>49044</v>
      </c>
      <c r="AF19" s="77">
        <f t="shared" si="3"/>
        <v>29</v>
      </c>
      <c r="AG19" s="26"/>
      <c r="AH19" s="24">
        <v>57408032</v>
      </c>
      <c r="AI19" s="76">
        <v>19741881</v>
      </c>
      <c r="AJ19" s="76">
        <v>37666151</v>
      </c>
      <c r="AK19" s="76">
        <v>64</v>
      </c>
      <c r="AL19" s="14">
        <v>49044</v>
      </c>
      <c r="AM19" s="77">
        <f t="shared" si="4"/>
        <v>29</v>
      </c>
      <c r="AN19" s="24">
        <v>62961564</v>
      </c>
      <c r="AO19" s="76">
        <v>23962407</v>
      </c>
      <c r="AP19" s="76">
        <v>38999157</v>
      </c>
      <c r="AQ19" s="76">
        <v>59.77</v>
      </c>
      <c r="AR19" s="14">
        <v>54374</v>
      </c>
      <c r="AS19" s="77">
        <f t="shared" si="5"/>
        <v>26</v>
      </c>
      <c r="AT19" s="37"/>
      <c r="AU19" s="38"/>
    </row>
    <row r="20" spans="1:47" ht="18" customHeight="1">
      <c r="A20" s="65">
        <v>322</v>
      </c>
      <c r="B20" s="68" t="s">
        <v>27</v>
      </c>
      <c r="C20" s="33" t="s">
        <v>28</v>
      </c>
      <c r="E20" s="75">
        <v>1453682551</v>
      </c>
      <c r="F20" s="76">
        <v>102108211</v>
      </c>
      <c r="G20" s="76">
        <v>1351574340</v>
      </c>
      <c r="H20" s="76">
        <v>2283.08</v>
      </c>
      <c r="I20" s="76">
        <v>49333</v>
      </c>
      <c r="J20" s="77">
        <f t="shared" si="0"/>
        <v>22</v>
      </c>
      <c r="K20" s="26"/>
      <c r="L20" s="24">
        <v>1519297370</v>
      </c>
      <c r="M20" s="76">
        <v>132720260</v>
      </c>
      <c r="N20" s="76">
        <v>1386577110</v>
      </c>
      <c r="O20" s="76">
        <v>2279.87</v>
      </c>
      <c r="P20" s="14">
        <v>50682</v>
      </c>
      <c r="Q20" s="77">
        <f t="shared" si="1"/>
        <v>20</v>
      </c>
      <c r="R20" s="24">
        <v>1427070585.0799999</v>
      </c>
      <c r="S20" s="76">
        <v>99774204</v>
      </c>
      <c r="T20" s="76">
        <v>1327296381.0799999</v>
      </c>
      <c r="U20" s="76">
        <v>2071.17</v>
      </c>
      <c r="V20" s="14">
        <v>53404</v>
      </c>
      <c r="W20" s="77">
        <f t="shared" si="2"/>
        <v>21</v>
      </c>
      <c r="X20" s="37">
        <v>111.73174831307398</v>
      </c>
      <c r="Y20" s="38">
        <v>107.96808059884187</v>
      </c>
      <c r="AA20" s="75">
        <v>1546511747</v>
      </c>
      <c r="AB20" s="76">
        <v>128648865</v>
      </c>
      <c r="AC20" s="76">
        <v>1417862882</v>
      </c>
      <c r="AD20" s="76">
        <v>2284.85</v>
      </c>
      <c r="AE20" s="76">
        <v>51712</v>
      </c>
      <c r="AF20" s="77">
        <f t="shared" si="3"/>
        <v>23</v>
      </c>
      <c r="AG20" s="26"/>
      <c r="AH20" s="24">
        <v>1542347986</v>
      </c>
      <c r="AI20" s="76">
        <v>133548865</v>
      </c>
      <c r="AJ20" s="76">
        <v>1408799121</v>
      </c>
      <c r="AK20" s="76">
        <v>2309.83</v>
      </c>
      <c r="AL20" s="14">
        <v>50826</v>
      </c>
      <c r="AM20" s="77">
        <f t="shared" si="4"/>
        <v>24</v>
      </c>
      <c r="AN20" s="24">
        <v>1484142744</v>
      </c>
      <c r="AO20" s="76">
        <v>91511781</v>
      </c>
      <c r="AP20" s="76">
        <v>1392630963</v>
      </c>
      <c r="AQ20" s="76">
        <v>2105.16</v>
      </c>
      <c r="AR20" s="14">
        <v>55128</v>
      </c>
      <c r="AS20" s="77">
        <f t="shared" si="5"/>
        <v>24</v>
      </c>
      <c r="AT20" s="37"/>
      <c r="AU20" s="38"/>
    </row>
    <row r="21" spans="1:47" ht="18" customHeight="1">
      <c r="A21" s="65">
        <v>327</v>
      </c>
      <c r="B21" s="68" t="s">
        <v>29</v>
      </c>
      <c r="C21" s="33" t="s">
        <v>30</v>
      </c>
      <c r="E21" s="75">
        <v>642862375</v>
      </c>
      <c r="F21" s="76">
        <v>14146752</v>
      </c>
      <c r="G21" s="76">
        <v>628715623</v>
      </c>
      <c r="H21" s="76">
        <v>1024</v>
      </c>
      <c r="I21" s="76">
        <v>51165</v>
      </c>
      <c r="J21" s="77">
        <f t="shared" si="0"/>
        <v>16</v>
      </c>
      <c r="K21" s="26"/>
      <c r="L21" s="24">
        <v>695410741</v>
      </c>
      <c r="M21" s="76">
        <v>15116752</v>
      </c>
      <c r="N21" s="76">
        <v>680293989</v>
      </c>
      <c r="O21" s="76">
        <v>1062.5</v>
      </c>
      <c r="P21" s="14">
        <v>53356</v>
      </c>
      <c r="Q21" s="77">
        <f t="shared" si="1"/>
        <v>12</v>
      </c>
      <c r="R21" s="24">
        <v>667681202</v>
      </c>
      <c r="S21" s="76">
        <v>13597710</v>
      </c>
      <c r="T21" s="76">
        <v>654083492</v>
      </c>
      <c r="U21" s="76">
        <v>923.65999999999985</v>
      </c>
      <c r="V21" s="14">
        <v>59012</v>
      </c>
      <c r="W21" s="77">
        <f t="shared" si="2"/>
        <v>7</v>
      </c>
      <c r="X21" s="37">
        <v>109.23928206082023</v>
      </c>
      <c r="Y21" s="38">
        <v>110.38646775519794</v>
      </c>
      <c r="AA21" s="75">
        <v>700466253</v>
      </c>
      <c r="AB21" s="76">
        <v>13400775</v>
      </c>
      <c r="AC21" s="76">
        <v>687065478</v>
      </c>
      <c r="AD21" s="76">
        <v>1062</v>
      </c>
      <c r="AE21" s="76">
        <v>53913</v>
      </c>
      <c r="AF21" s="77">
        <f t="shared" si="3"/>
        <v>19</v>
      </c>
      <c r="AG21" s="26"/>
      <c r="AH21" s="24">
        <v>730409313</v>
      </c>
      <c r="AI21" s="76">
        <v>14062035</v>
      </c>
      <c r="AJ21" s="76">
        <v>716347278</v>
      </c>
      <c r="AK21" s="76">
        <v>1044.17</v>
      </c>
      <c r="AL21" s="14">
        <v>57170</v>
      </c>
      <c r="AM21" s="77">
        <f t="shared" si="4"/>
        <v>11</v>
      </c>
      <c r="AN21" s="24">
        <v>734603568</v>
      </c>
      <c r="AO21" s="76">
        <v>16133239</v>
      </c>
      <c r="AP21" s="76">
        <v>718470329</v>
      </c>
      <c r="AQ21" s="76">
        <v>941.0200000000001</v>
      </c>
      <c r="AR21" s="14">
        <v>63625</v>
      </c>
      <c r="AS21" s="77">
        <f t="shared" si="5"/>
        <v>10</v>
      </c>
      <c r="AT21" s="37"/>
      <c r="AU21" s="38"/>
    </row>
    <row r="22" spans="1:47" ht="18" customHeight="1">
      <c r="A22" s="65">
        <v>328</v>
      </c>
      <c r="B22" s="68" t="s">
        <v>87</v>
      </c>
      <c r="C22" s="33" t="s">
        <v>85</v>
      </c>
      <c r="E22" s="75">
        <v>325754280</v>
      </c>
      <c r="F22" s="76">
        <v>14059777</v>
      </c>
      <c r="G22" s="76">
        <v>311694503</v>
      </c>
      <c r="H22" s="76">
        <v>598</v>
      </c>
      <c r="I22" s="76">
        <v>43436</v>
      </c>
      <c r="J22" s="77">
        <f t="shared" si="0"/>
        <v>34</v>
      </c>
      <c r="K22" s="26"/>
      <c r="L22" s="24">
        <v>327329280</v>
      </c>
      <c r="M22" s="76">
        <v>14059777</v>
      </c>
      <c r="N22" s="76">
        <v>313269503</v>
      </c>
      <c r="O22" s="76">
        <v>587</v>
      </c>
      <c r="P22" s="14">
        <v>44473</v>
      </c>
      <c r="Q22" s="77">
        <f t="shared" si="1"/>
        <v>33</v>
      </c>
      <c r="R22" s="24">
        <v>314887703</v>
      </c>
      <c r="S22" s="76">
        <v>10313331</v>
      </c>
      <c r="T22" s="76">
        <v>304574372</v>
      </c>
      <c r="U22" s="76">
        <v>527.54999999999995</v>
      </c>
      <c r="V22" s="14">
        <v>48111</v>
      </c>
      <c r="W22" s="77">
        <f t="shared" si="2"/>
        <v>32</v>
      </c>
      <c r="X22" s="37">
        <v>109.19598590287319</v>
      </c>
      <c r="Y22" s="38">
        <v>110.53634054903858</v>
      </c>
      <c r="AA22" s="75">
        <v>361504405</v>
      </c>
      <c r="AB22" s="76">
        <v>15394177</v>
      </c>
      <c r="AC22" s="76">
        <v>346110228</v>
      </c>
      <c r="AD22" s="76">
        <v>587</v>
      </c>
      <c r="AE22" s="76">
        <v>49135</v>
      </c>
      <c r="AF22" s="77">
        <f t="shared" si="3"/>
        <v>28</v>
      </c>
      <c r="AG22" s="26"/>
      <c r="AH22" s="24">
        <v>361504405</v>
      </c>
      <c r="AI22" s="76">
        <v>15394177</v>
      </c>
      <c r="AJ22" s="76">
        <v>346110228</v>
      </c>
      <c r="AK22" s="76">
        <v>587</v>
      </c>
      <c r="AL22" s="14">
        <v>49135</v>
      </c>
      <c r="AM22" s="77">
        <f t="shared" si="4"/>
        <v>28</v>
      </c>
      <c r="AN22" s="24">
        <v>345236633</v>
      </c>
      <c r="AO22" s="76">
        <v>13667252</v>
      </c>
      <c r="AP22" s="76">
        <v>331569381</v>
      </c>
      <c r="AQ22" s="76">
        <v>523.02</v>
      </c>
      <c r="AR22" s="14">
        <v>52829</v>
      </c>
      <c r="AS22" s="77">
        <f t="shared" si="5"/>
        <v>28</v>
      </c>
      <c r="AT22" s="37"/>
      <c r="AU22" s="38"/>
    </row>
    <row r="23" spans="1:47" ht="18" customHeight="1">
      <c r="A23" s="65">
        <v>329</v>
      </c>
      <c r="B23" s="68" t="s">
        <v>31</v>
      </c>
      <c r="C23" s="33" t="s">
        <v>32</v>
      </c>
      <c r="E23" s="75">
        <v>3001033524</v>
      </c>
      <c r="F23" s="76">
        <v>54503034</v>
      </c>
      <c r="G23" s="76">
        <v>2946530490</v>
      </c>
      <c r="H23" s="76">
        <v>6001.63</v>
      </c>
      <c r="I23" s="76">
        <v>40913</v>
      </c>
      <c r="J23" s="77">
        <f t="shared" si="0"/>
        <v>38</v>
      </c>
      <c r="K23" s="26"/>
      <c r="L23" s="24">
        <v>3106294238</v>
      </c>
      <c r="M23" s="76">
        <v>59307649</v>
      </c>
      <c r="N23" s="76">
        <v>3046986589</v>
      </c>
      <c r="O23" s="76">
        <v>5826.48</v>
      </c>
      <c r="P23" s="14">
        <v>43580</v>
      </c>
      <c r="Q23" s="77">
        <f t="shared" si="1"/>
        <v>35</v>
      </c>
      <c r="R23" s="24">
        <v>3103667096.0000005</v>
      </c>
      <c r="S23" s="76">
        <v>67670804.780000001</v>
      </c>
      <c r="T23" s="76">
        <v>3035996291.2200003</v>
      </c>
      <c r="U23" s="76">
        <v>5644.1499999999987</v>
      </c>
      <c r="V23" s="14">
        <v>44825</v>
      </c>
      <c r="W23" s="77">
        <f t="shared" si="2"/>
        <v>38</v>
      </c>
      <c r="X23" s="37">
        <v>107.77350389122462</v>
      </c>
      <c r="Y23" s="38">
        <v>107.87965616045845</v>
      </c>
      <c r="AA23" s="75">
        <v>3205010556</v>
      </c>
      <c r="AB23" s="76">
        <v>48911939</v>
      </c>
      <c r="AC23" s="76">
        <v>3156098617</v>
      </c>
      <c r="AD23" s="76">
        <v>5829.2000000000007</v>
      </c>
      <c r="AE23" s="76">
        <v>45119</v>
      </c>
      <c r="AF23" s="77">
        <f t="shared" si="3"/>
        <v>36</v>
      </c>
      <c r="AG23" s="26"/>
      <c r="AH23" s="24">
        <v>3249445608</v>
      </c>
      <c r="AI23" s="76">
        <v>57602349</v>
      </c>
      <c r="AJ23" s="76">
        <v>3191843259</v>
      </c>
      <c r="AK23" s="76">
        <v>5794.9500000000007</v>
      </c>
      <c r="AL23" s="14">
        <v>45900</v>
      </c>
      <c r="AM23" s="77">
        <f t="shared" si="4"/>
        <v>35</v>
      </c>
      <c r="AN23" s="24">
        <v>3265843736.9699998</v>
      </c>
      <c r="AO23" s="76">
        <v>55530448.579999998</v>
      </c>
      <c r="AP23" s="76">
        <v>3210313288.3899999</v>
      </c>
      <c r="AQ23" s="76">
        <v>5595.52</v>
      </c>
      <c r="AR23" s="14">
        <v>47811</v>
      </c>
      <c r="AS23" s="77">
        <f t="shared" si="5"/>
        <v>38</v>
      </c>
      <c r="AT23" s="37"/>
      <c r="AU23" s="38"/>
    </row>
    <row r="24" spans="1:47" ht="18" customHeight="1">
      <c r="A24" s="65">
        <v>333</v>
      </c>
      <c r="B24" s="68" t="s">
        <v>33</v>
      </c>
      <c r="C24" s="33" t="s">
        <v>34</v>
      </c>
      <c r="E24" s="75">
        <v>138992345181</v>
      </c>
      <c r="F24" s="76">
        <v>1224906894</v>
      </c>
      <c r="G24" s="76">
        <v>137767438287</v>
      </c>
      <c r="H24" s="76">
        <v>263742.93</v>
      </c>
      <c r="I24" s="76">
        <v>43530</v>
      </c>
      <c r="J24" s="77">
        <f t="shared" si="0"/>
        <v>33</v>
      </c>
      <c r="K24" s="26"/>
      <c r="L24" s="24">
        <v>141994663156</v>
      </c>
      <c r="M24" s="76">
        <v>1514486841</v>
      </c>
      <c r="N24" s="76">
        <v>140480176315</v>
      </c>
      <c r="O24" s="76">
        <v>273192.07</v>
      </c>
      <c r="P24" s="14">
        <v>42851</v>
      </c>
      <c r="Q24" s="77">
        <f t="shared" si="1"/>
        <v>36</v>
      </c>
      <c r="R24" s="24">
        <v>147454378586.5</v>
      </c>
      <c r="S24" s="76">
        <v>3165426090</v>
      </c>
      <c r="T24" s="76">
        <v>144288952496.5</v>
      </c>
      <c r="U24" s="76">
        <v>279266.84000000003</v>
      </c>
      <c r="V24" s="14">
        <v>43056</v>
      </c>
      <c r="W24" s="77">
        <f t="shared" si="2"/>
        <v>39</v>
      </c>
      <c r="X24" s="37">
        <v>107.04506416085681</v>
      </c>
      <c r="Y24" s="38">
        <v>109.89030936389803</v>
      </c>
      <c r="AA24" s="75">
        <v>148508746443</v>
      </c>
      <c r="AB24" s="76">
        <v>1392814800</v>
      </c>
      <c r="AC24" s="76">
        <v>147115931643</v>
      </c>
      <c r="AD24" s="76">
        <v>264473.17</v>
      </c>
      <c r="AE24" s="76">
        <v>46355</v>
      </c>
      <c r="AF24" s="77">
        <f t="shared" si="3"/>
        <v>35</v>
      </c>
      <c r="AG24" s="26"/>
      <c r="AH24" s="24">
        <v>152755651554</v>
      </c>
      <c r="AI24" s="76">
        <v>1545103289</v>
      </c>
      <c r="AJ24" s="76">
        <v>151210548265</v>
      </c>
      <c r="AK24" s="76">
        <v>276129.16000000003</v>
      </c>
      <c r="AL24" s="14">
        <v>45634</v>
      </c>
      <c r="AM24" s="77">
        <f t="shared" si="4"/>
        <v>37</v>
      </c>
      <c r="AN24" s="24">
        <v>158270558422</v>
      </c>
      <c r="AO24" s="76">
        <v>3247405376</v>
      </c>
      <c r="AP24" s="76">
        <v>155023153046</v>
      </c>
      <c r="AQ24" s="76">
        <v>283104.24</v>
      </c>
      <c r="AR24" s="14">
        <v>45632</v>
      </c>
      <c r="AS24" s="77">
        <f t="shared" si="5"/>
        <v>39</v>
      </c>
      <c r="AT24" s="37"/>
      <c r="AU24" s="38"/>
    </row>
    <row r="25" spans="1:47" ht="18" customHeight="1">
      <c r="A25" s="65">
        <v>334</v>
      </c>
      <c r="B25" s="68" t="s">
        <v>35</v>
      </c>
      <c r="C25" s="33" t="s">
        <v>36</v>
      </c>
      <c r="E25" s="75">
        <v>3335742838</v>
      </c>
      <c r="F25" s="76">
        <v>143845044</v>
      </c>
      <c r="G25" s="76">
        <v>3191897794</v>
      </c>
      <c r="H25" s="76">
        <v>6860.6</v>
      </c>
      <c r="I25" s="76">
        <v>38771</v>
      </c>
      <c r="J25" s="77">
        <f t="shared" si="0"/>
        <v>41</v>
      </c>
      <c r="K25" s="26"/>
      <c r="L25" s="24">
        <v>3498656223</v>
      </c>
      <c r="M25" s="76">
        <v>150719094</v>
      </c>
      <c r="N25" s="76">
        <v>3347937129</v>
      </c>
      <c r="O25" s="76">
        <v>6852.6</v>
      </c>
      <c r="P25" s="14">
        <v>40714</v>
      </c>
      <c r="Q25" s="77">
        <f t="shared" si="1"/>
        <v>39</v>
      </c>
      <c r="R25" s="24">
        <v>3590995460.5599999</v>
      </c>
      <c r="S25" s="76">
        <v>181090860</v>
      </c>
      <c r="T25" s="76">
        <v>3409904600.5599999</v>
      </c>
      <c r="U25" s="76">
        <v>6652.8099999999986</v>
      </c>
      <c r="V25" s="14">
        <v>42713</v>
      </c>
      <c r="W25" s="77">
        <f t="shared" si="2"/>
        <v>40</v>
      </c>
      <c r="X25" s="37">
        <v>108.77613498825261</v>
      </c>
      <c r="Y25" s="38">
        <v>110.73930901183861</v>
      </c>
      <c r="AA25" s="75">
        <v>3505023177</v>
      </c>
      <c r="AB25" s="76">
        <v>115605581</v>
      </c>
      <c r="AC25" s="76">
        <v>3389417596</v>
      </c>
      <c r="AD25" s="76">
        <v>6957.13</v>
      </c>
      <c r="AE25" s="76">
        <v>40599</v>
      </c>
      <c r="AF25" s="77">
        <f t="shared" si="3"/>
        <v>41</v>
      </c>
      <c r="AG25" s="26"/>
      <c r="AH25" s="24">
        <v>3655080366</v>
      </c>
      <c r="AI25" s="76">
        <v>128471731</v>
      </c>
      <c r="AJ25" s="76">
        <v>3526608635</v>
      </c>
      <c r="AK25" s="76">
        <v>6958.01</v>
      </c>
      <c r="AL25" s="14">
        <v>42237</v>
      </c>
      <c r="AM25" s="77">
        <f t="shared" si="4"/>
        <v>41</v>
      </c>
      <c r="AN25" s="24">
        <v>3729079788</v>
      </c>
      <c r="AO25" s="76">
        <v>188121259</v>
      </c>
      <c r="AP25" s="76">
        <v>3540958529</v>
      </c>
      <c r="AQ25" s="76">
        <v>6628.13</v>
      </c>
      <c r="AR25" s="14">
        <v>44519</v>
      </c>
      <c r="AS25" s="77">
        <f t="shared" si="5"/>
        <v>40</v>
      </c>
      <c r="AT25" s="37"/>
      <c r="AU25" s="38"/>
    </row>
    <row r="26" spans="1:47" ht="18" customHeight="1">
      <c r="A26" s="65">
        <v>335</v>
      </c>
      <c r="B26" s="68" t="s">
        <v>37</v>
      </c>
      <c r="C26" s="33" t="s">
        <v>38</v>
      </c>
      <c r="E26" s="75">
        <v>1866217644</v>
      </c>
      <c r="F26" s="76">
        <v>77808561</v>
      </c>
      <c r="G26" s="76">
        <v>1788409083</v>
      </c>
      <c r="H26" s="76">
        <v>3675.4199999999996</v>
      </c>
      <c r="I26" s="76">
        <v>40549</v>
      </c>
      <c r="J26" s="77">
        <f t="shared" si="0"/>
        <v>39</v>
      </c>
      <c r="K26" s="26"/>
      <c r="L26" s="24">
        <v>1967396272</v>
      </c>
      <c r="M26" s="76">
        <v>94842961</v>
      </c>
      <c r="N26" s="76">
        <v>1872553311</v>
      </c>
      <c r="O26" s="76">
        <v>3691</v>
      </c>
      <c r="P26" s="14">
        <v>42277</v>
      </c>
      <c r="Q26" s="77">
        <f t="shared" si="1"/>
        <v>37</v>
      </c>
      <c r="R26" s="24">
        <v>2231998619.5500002</v>
      </c>
      <c r="S26" s="76">
        <v>95516151</v>
      </c>
      <c r="T26" s="76">
        <v>2136482468.55</v>
      </c>
      <c r="U26" s="76">
        <v>3692.9100000000003</v>
      </c>
      <c r="V26" s="14">
        <v>48211</v>
      </c>
      <c r="W26" s="77">
        <f t="shared" si="2"/>
        <v>31</v>
      </c>
      <c r="X26" s="37">
        <v>113.87644141721933</v>
      </c>
      <c r="Y26" s="38">
        <v>107.7081743946201</v>
      </c>
      <c r="AA26" s="75">
        <v>2032547645</v>
      </c>
      <c r="AB26" s="76">
        <v>91208127</v>
      </c>
      <c r="AC26" s="76">
        <v>1941339518</v>
      </c>
      <c r="AD26" s="76">
        <v>3681.1499999999996</v>
      </c>
      <c r="AE26" s="76">
        <v>43948</v>
      </c>
      <c r="AF26" s="77">
        <f t="shared" si="3"/>
        <v>38</v>
      </c>
      <c r="AG26" s="26"/>
      <c r="AH26" s="24">
        <v>2035462741</v>
      </c>
      <c r="AI26" s="76">
        <v>96480212</v>
      </c>
      <c r="AJ26" s="76">
        <v>1938982529</v>
      </c>
      <c r="AK26" s="76">
        <v>3700.1299999999997</v>
      </c>
      <c r="AL26" s="14">
        <v>43669</v>
      </c>
      <c r="AM26" s="77">
        <f t="shared" si="4"/>
        <v>38</v>
      </c>
      <c r="AN26" s="24">
        <v>2360363881.3800001</v>
      </c>
      <c r="AO26" s="76">
        <v>102128160</v>
      </c>
      <c r="AP26" s="76">
        <v>2258235721.3800001</v>
      </c>
      <c r="AQ26" s="76">
        <v>3688.61</v>
      </c>
      <c r="AR26" s="14">
        <v>51018</v>
      </c>
      <c r="AS26" s="77">
        <f t="shared" si="5"/>
        <v>34</v>
      </c>
      <c r="AT26" s="37"/>
      <c r="AU26" s="38"/>
    </row>
    <row r="27" spans="1:47" ht="18" customHeight="1">
      <c r="A27" s="65">
        <v>336</v>
      </c>
      <c r="B27" s="68" t="s">
        <v>39</v>
      </c>
      <c r="C27" s="33" t="s">
        <v>40</v>
      </c>
      <c r="E27" s="75">
        <v>19853881452</v>
      </c>
      <c r="F27" s="76">
        <v>6342398908</v>
      </c>
      <c r="G27" s="76">
        <v>13511482544</v>
      </c>
      <c r="H27" s="76">
        <v>25403.160000000003</v>
      </c>
      <c r="I27" s="76">
        <v>44323</v>
      </c>
      <c r="J27" s="77">
        <f t="shared" si="0"/>
        <v>29</v>
      </c>
      <c r="K27" s="26"/>
      <c r="L27" s="24">
        <v>20749882967</v>
      </c>
      <c r="M27" s="76">
        <v>6680081098</v>
      </c>
      <c r="N27" s="76">
        <v>14069801869</v>
      </c>
      <c r="O27" s="76">
        <v>25166.820000000003</v>
      </c>
      <c r="P27" s="14">
        <v>46588</v>
      </c>
      <c r="Q27" s="77">
        <f t="shared" si="1"/>
        <v>27</v>
      </c>
      <c r="R27" s="24">
        <v>20690537751.470001</v>
      </c>
      <c r="S27" s="76">
        <v>6734623799.9099998</v>
      </c>
      <c r="T27" s="76">
        <v>13955913951.559999</v>
      </c>
      <c r="U27" s="76">
        <v>23670.3</v>
      </c>
      <c r="V27" s="14">
        <v>49133</v>
      </c>
      <c r="W27" s="77">
        <f t="shared" si="2"/>
        <v>27</v>
      </c>
      <c r="X27" s="37">
        <v>105.88383599634427</v>
      </c>
      <c r="Y27" s="38">
        <v>107.98354438516424</v>
      </c>
      <c r="AA27" s="75">
        <v>22051801067</v>
      </c>
      <c r="AB27" s="76">
        <v>6807496113</v>
      </c>
      <c r="AC27" s="76">
        <v>15244304954</v>
      </c>
      <c r="AD27" s="76">
        <v>25167.85</v>
      </c>
      <c r="AE27" s="76">
        <v>50475</v>
      </c>
      <c r="AF27" s="77">
        <f t="shared" si="3"/>
        <v>25</v>
      </c>
      <c r="AG27" s="26"/>
      <c r="AH27" s="24">
        <v>22486183036</v>
      </c>
      <c r="AI27" s="76">
        <v>7222684540</v>
      </c>
      <c r="AJ27" s="76">
        <v>15263498496</v>
      </c>
      <c r="AK27" s="76">
        <v>25166.52</v>
      </c>
      <c r="AL27" s="14">
        <v>50542</v>
      </c>
      <c r="AM27" s="77">
        <f t="shared" si="4"/>
        <v>25</v>
      </c>
      <c r="AN27" s="24">
        <v>22549916002.060001</v>
      </c>
      <c r="AO27" s="76">
        <v>7264829138.0500011</v>
      </c>
      <c r="AP27" s="76">
        <v>15285086864.01</v>
      </c>
      <c r="AQ27" s="76">
        <v>23597.61</v>
      </c>
      <c r="AR27" s="14">
        <v>53978</v>
      </c>
      <c r="AS27" s="77">
        <f t="shared" si="5"/>
        <v>27</v>
      </c>
      <c r="AT27" s="37"/>
      <c r="AU27" s="38"/>
    </row>
    <row r="28" spans="1:47" ht="18" customHeight="1">
      <c r="A28" s="65">
        <v>343</v>
      </c>
      <c r="B28" s="68" t="s">
        <v>83</v>
      </c>
      <c r="C28" s="33" t="s">
        <v>92</v>
      </c>
      <c r="E28" s="75">
        <v>73406787</v>
      </c>
      <c r="F28" s="76">
        <v>1890912</v>
      </c>
      <c r="G28" s="76">
        <v>71515875</v>
      </c>
      <c r="H28" s="76">
        <v>114</v>
      </c>
      <c r="I28" s="76">
        <v>52278</v>
      </c>
      <c r="J28" s="77">
        <f t="shared" si="0"/>
        <v>13</v>
      </c>
      <c r="K28" s="26"/>
      <c r="L28" s="24">
        <v>74027055</v>
      </c>
      <c r="M28" s="76">
        <v>1890912</v>
      </c>
      <c r="N28" s="76">
        <v>72136143</v>
      </c>
      <c r="O28" s="76">
        <v>114.5</v>
      </c>
      <c r="P28" s="14">
        <v>52501</v>
      </c>
      <c r="Q28" s="77">
        <f t="shared" si="1"/>
        <v>14</v>
      </c>
      <c r="R28" s="24">
        <v>71692221</v>
      </c>
      <c r="S28" s="76">
        <v>1580535</v>
      </c>
      <c r="T28" s="76">
        <v>70111686</v>
      </c>
      <c r="U28" s="76">
        <v>105.63000000000001</v>
      </c>
      <c r="V28" s="14">
        <v>55312</v>
      </c>
      <c r="W28" s="77">
        <f t="shared" si="2"/>
        <v>16</v>
      </c>
      <c r="X28" s="37">
        <v>109.12978103561694</v>
      </c>
      <c r="Y28" s="38">
        <v>112.53240303316616</v>
      </c>
      <c r="AA28" s="75">
        <v>80134186</v>
      </c>
      <c r="AB28" s="76">
        <v>1890912</v>
      </c>
      <c r="AC28" s="76">
        <v>78243274</v>
      </c>
      <c r="AD28" s="76">
        <v>118</v>
      </c>
      <c r="AE28" s="76">
        <v>55257</v>
      </c>
      <c r="AF28" s="77">
        <f t="shared" si="3"/>
        <v>14</v>
      </c>
      <c r="AG28" s="26"/>
      <c r="AH28" s="24">
        <v>78136276</v>
      </c>
      <c r="AI28" s="76">
        <v>1890912</v>
      </c>
      <c r="AJ28" s="76">
        <v>76245364</v>
      </c>
      <c r="AK28" s="76">
        <v>118</v>
      </c>
      <c r="AL28" s="14">
        <v>53846</v>
      </c>
      <c r="AM28" s="77">
        <f t="shared" si="4"/>
        <v>19</v>
      </c>
      <c r="AN28" s="24">
        <v>75964798</v>
      </c>
      <c r="AO28" s="76">
        <v>1539283</v>
      </c>
      <c r="AP28" s="76">
        <v>74425515</v>
      </c>
      <c r="AQ28" s="76">
        <v>106.24000000000001</v>
      </c>
      <c r="AR28" s="14">
        <v>58378</v>
      </c>
      <c r="AS28" s="77">
        <f t="shared" si="5"/>
        <v>15</v>
      </c>
      <c r="AT28" s="37"/>
      <c r="AU28" s="38"/>
    </row>
    <row r="29" spans="1:47" ht="18" customHeight="1">
      <c r="A29" s="65">
        <v>344</v>
      </c>
      <c r="B29" s="68" t="s">
        <v>41</v>
      </c>
      <c r="C29" s="33" t="s">
        <v>42</v>
      </c>
      <c r="E29" s="75">
        <v>118985529</v>
      </c>
      <c r="F29" s="76">
        <v>864182</v>
      </c>
      <c r="G29" s="76">
        <v>118121347</v>
      </c>
      <c r="H29" s="76">
        <v>212</v>
      </c>
      <c r="I29" s="76">
        <v>46431</v>
      </c>
      <c r="J29" s="77">
        <f t="shared" si="0"/>
        <v>24</v>
      </c>
      <c r="K29" s="26"/>
      <c r="L29" s="24">
        <v>118985529</v>
      </c>
      <c r="M29" s="76">
        <v>864182</v>
      </c>
      <c r="N29" s="76">
        <v>118121347</v>
      </c>
      <c r="O29" s="76">
        <v>207</v>
      </c>
      <c r="P29" s="14">
        <v>47553</v>
      </c>
      <c r="Q29" s="77">
        <f t="shared" si="1"/>
        <v>23</v>
      </c>
      <c r="R29" s="24">
        <v>115636976</v>
      </c>
      <c r="S29" s="76">
        <v>864067</v>
      </c>
      <c r="T29" s="76">
        <v>114772909</v>
      </c>
      <c r="U29" s="76">
        <v>190.45999999999998</v>
      </c>
      <c r="V29" s="14">
        <v>50217</v>
      </c>
      <c r="W29" s="77">
        <f t="shared" si="2"/>
        <v>26</v>
      </c>
      <c r="X29" s="37">
        <v>111.7074438891938</v>
      </c>
      <c r="Y29" s="38">
        <v>111.37928055067539</v>
      </c>
      <c r="AA29" s="75">
        <v>129984417</v>
      </c>
      <c r="AB29" s="76">
        <v>864182</v>
      </c>
      <c r="AC29" s="76">
        <v>129120235</v>
      </c>
      <c r="AD29" s="76">
        <v>207</v>
      </c>
      <c r="AE29" s="76">
        <v>51981</v>
      </c>
      <c r="AF29" s="77">
        <f t="shared" si="3"/>
        <v>21</v>
      </c>
      <c r="AG29" s="26"/>
      <c r="AH29" s="24">
        <v>129984417</v>
      </c>
      <c r="AI29" s="76">
        <v>864182</v>
      </c>
      <c r="AJ29" s="76">
        <v>129120235</v>
      </c>
      <c r="AK29" s="76">
        <v>207</v>
      </c>
      <c r="AL29" s="14">
        <v>51981</v>
      </c>
      <c r="AM29" s="77">
        <f t="shared" si="4"/>
        <v>21</v>
      </c>
      <c r="AN29" s="24">
        <v>125879532</v>
      </c>
      <c r="AO29" s="76">
        <v>842434</v>
      </c>
      <c r="AP29" s="76">
        <v>125037098</v>
      </c>
      <c r="AQ29" s="76">
        <v>187.65</v>
      </c>
      <c r="AR29" s="14">
        <v>55528</v>
      </c>
      <c r="AS29" s="77">
        <f t="shared" si="5"/>
        <v>22</v>
      </c>
      <c r="AT29" s="37"/>
      <c r="AU29" s="38"/>
    </row>
    <row r="30" spans="1:47" ht="18" customHeight="1">
      <c r="A30" s="65">
        <v>345</v>
      </c>
      <c r="B30" s="68" t="s">
        <v>43</v>
      </c>
      <c r="C30" s="33" t="s">
        <v>44</v>
      </c>
      <c r="E30" s="75">
        <v>676274150</v>
      </c>
      <c r="F30" s="76">
        <v>30160470</v>
      </c>
      <c r="G30" s="76">
        <v>646113680</v>
      </c>
      <c r="H30" s="76">
        <v>1263</v>
      </c>
      <c r="I30" s="76">
        <v>42631</v>
      </c>
      <c r="J30" s="77">
        <f t="shared" si="0"/>
        <v>35</v>
      </c>
      <c r="K30" s="26"/>
      <c r="L30" s="24">
        <v>744089173</v>
      </c>
      <c r="M30" s="76">
        <v>46876470</v>
      </c>
      <c r="N30" s="76">
        <v>697212703</v>
      </c>
      <c r="O30" s="76">
        <v>1264.67</v>
      </c>
      <c r="P30" s="14">
        <v>45942</v>
      </c>
      <c r="Q30" s="77">
        <f t="shared" si="1"/>
        <v>29</v>
      </c>
      <c r="R30" s="24">
        <v>759026215</v>
      </c>
      <c r="S30" s="76">
        <v>48416700</v>
      </c>
      <c r="T30" s="76">
        <v>710609515</v>
      </c>
      <c r="U30" s="76">
        <v>1238.8699999999999</v>
      </c>
      <c r="V30" s="14">
        <v>47800</v>
      </c>
      <c r="W30" s="77">
        <f t="shared" si="2"/>
        <v>33</v>
      </c>
      <c r="X30" s="37">
        <v>99.016467787194244</v>
      </c>
      <c r="Y30" s="38">
        <v>104.17176084687641</v>
      </c>
      <c r="AA30" s="75">
        <v>712000842</v>
      </c>
      <c r="AB30" s="76">
        <v>31672000</v>
      </c>
      <c r="AC30" s="76">
        <v>680328842</v>
      </c>
      <c r="AD30" s="76">
        <v>1262</v>
      </c>
      <c r="AE30" s="76">
        <v>44924</v>
      </c>
      <c r="AF30" s="77">
        <f t="shared" si="3"/>
        <v>37</v>
      </c>
      <c r="AG30" s="26"/>
      <c r="AH30" s="24">
        <v>756632704</v>
      </c>
      <c r="AI30" s="76">
        <v>27744654</v>
      </c>
      <c r="AJ30" s="76">
        <v>728888050</v>
      </c>
      <c r="AK30" s="76">
        <v>1252.25</v>
      </c>
      <c r="AL30" s="14">
        <v>48505</v>
      </c>
      <c r="AM30" s="77">
        <f t="shared" si="4"/>
        <v>30</v>
      </c>
      <c r="AN30" s="24">
        <v>762960812</v>
      </c>
      <c r="AO30" s="76">
        <v>34644496</v>
      </c>
      <c r="AP30" s="76">
        <v>728316316</v>
      </c>
      <c r="AQ30" s="76">
        <v>1222.3899999999999</v>
      </c>
      <c r="AR30" s="14">
        <v>49651</v>
      </c>
      <c r="AS30" s="77">
        <f t="shared" si="5"/>
        <v>35</v>
      </c>
      <c r="AT30" s="37"/>
      <c r="AU30" s="38"/>
    </row>
    <row r="31" spans="1:47" ht="18" customHeight="1">
      <c r="A31" s="65">
        <v>346</v>
      </c>
      <c r="B31" s="68" t="s">
        <v>45</v>
      </c>
      <c r="C31" s="33" t="s">
        <v>46</v>
      </c>
      <c r="E31" s="75">
        <v>2153653417</v>
      </c>
      <c r="F31" s="76">
        <v>3392909</v>
      </c>
      <c r="G31" s="76">
        <v>2150260508</v>
      </c>
      <c r="H31" s="76">
        <v>4889</v>
      </c>
      <c r="I31" s="76">
        <v>36651</v>
      </c>
      <c r="J31" s="77">
        <f t="shared" si="0"/>
        <v>42</v>
      </c>
      <c r="K31" s="26"/>
      <c r="L31" s="24">
        <v>2198163787</v>
      </c>
      <c r="M31" s="76">
        <v>4520729</v>
      </c>
      <c r="N31" s="76">
        <v>2193643058</v>
      </c>
      <c r="O31" s="76">
        <v>4886</v>
      </c>
      <c r="P31" s="14">
        <v>37414</v>
      </c>
      <c r="Q31" s="77">
        <f t="shared" si="1"/>
        <v>42</v>
      </c>
      <c r="R31" s="24">
        <v>2179123156</v>
      </c>
      <c r="S31" s="76">
        <v>4420328</v>
      </c>
      <c r="T31" s="76">
        <v>2174702828</v>
      </c>
      <c r="U31" s="76">
        <v>4657.3</v>
      </c>
      <c r="V31" s="14">
        <v>38912</v>
      </c>
      <c r="W31" s="77">
        <f t="shared" si="2"/>
        <v>43</v>
      </c>
      <c r="X31" s="37">
        <v>105.33220326491505</v>
      </c>
      <c r="Y31" s="38">
        <v>106.41450429991437</v>
      </c>
      <c r="AA31" s="75">
        <v>2486953252</v>
      </c>
      <c r="AB31" s="76">
        <v>3331909</v>
      </c>
      <c r="AC31" s="76">
        <v>2483621343</v>
      </c>
      <c r="AD31" s="76">
        <v>4848</v>
      </c>
      <c r="AE31" s="76">
        <v>42692</v>
      </c>
      <c r="AF31" s="77">
        <f t="shared" si="3"/>
        <v>40</v>
      </c>
      <c r="AG31" s="26"/>
      <c r="AH31" s="24">
        <v>2472116466</v>
      </c>
      <c r="AI31" s="76">
        <v>4170129</v>
      </c>
      <c r="AJ31" s="76">
        <v>2467946337</v>
      </c>
      <c r="AK31" s="76">
        <v>4848</v>
      </c>
      <c r="AL31" s="14">
        <v>42422</v>
      </c>
      <c r="AM31" s="77">
        <f t="shared" si="4"/>
        <v>40</v>
      </c>
      <c r="AN31" s="24">
        <v>2467872649</v>
      </c>
      <c r="AO31" s="76">
        <v>5050307</v>
      </c>
      <c r="AP31" s="76">
        <v>2462822342</v>
      </c>
      <c r="AQ31" s="76">
        <v>4611.8100000000004</v>
      </c>
      <c r="AR31" s="14">
        <v>44502</v>
      </c>
      <c r="AS31" s="77">
        <f t="shared" si="5"/>
        <v>41</v>
      </c>
      <c r="AT31" s="37"/>
      <c r="AU31" s="38"/>
    </row>
    <row r="32" spans="1:47" ht="18" customHeight="1">
      <c r="A32" s="65">
        <v>348</v>
      </c>
      <c r="B32" s="68" t="s">
        <v>47</v>
      </c>
      <c r="C32" s="33" t="s">
        <v>93</v>
      </c>
      <c r="E32" s="75">
        <v>113154726</v>
      </c>
      <c r="F32" s="76">
        <v>93813</v>
      </c>
      <c r="G32" s="76">
        <v>113060913</v>
      </c>
      <c r="H32" s="76">
        <v>185</v>
      </c>
      <c r="I32" s="76">
        <v>50928</v>
      </c>
      <c r="J32" s="77">
        <f t="shared" si="0"/>
        <v>18</v>
      </c>
      <c r="K32" s="26"/>
      <c r="L32" s="24">
        <v>113154726</v>
      </c>
      <c r="M32" s="76">
        <v>93813</v>
      </c>
      <c r="N32" s="76">
        <v>113060913</v>
      </c>
      <c r="O32" s="76">
        <v>184.5</v>
      </c>
      <c r="P32" s="14">
        <v>51066</v>
      </c>
      <c r="Q32" s="77">
        <f t="shared" si="1"/>
        <v>18</v>
      </c>
      <c r="R32" s="24">
        <v>112488696</v>
      </c>
      <c r="S32" s="76">
        <v>36800</v>
      </c>
      <c r="T32" s="76">
        <v>112451896</v>
      </c>
      <c r="U32" s="76">
        <v>176.7</v>
      </c>
      <c r="V32" s="14">
        <v>53033</v>
      </c>
      <c r="W32" s="77">
        <f t="shared" si="2"/>
        <v>22</v>
      </c>
      <c r="X32" s="37">
        <v>105.10820773879681</v>
      </c>
      <c r="Y32" s="38">
        <v>105.86482117599516</v>
      </c>
      <c r="AA32" s="75">
        <v>120365636</v>
      </c>
      <c r="AB32" s="76">
        <v>93813</v>
      </c>
      <c r="AC32" s="76">
        <v>120271823</v>
      </c>
      <c r="AD32" s="76">
        <v>184</v>
      </c>
      <c r="AE32" s="76">
        <v>54471</v>
      </c>
      <c r="AF32" s="77">
        <f t="shared" si="3"/>
        <v>16</v>
      </c>
      <c r="AG32" s="26"/>
      <c r="AH32" s="24">
        <v>120365636</v>
      </c>
      <c r="AI32" s="76">
        <v>93813</v>
      </c>
      <c r="AJ32" s="76">
        <v>120271823</v>
      </c>
      <c r="AK32" s="76">
        <v>183.92</v>
      </c>
      <c r="AL32" s="14">
        <v>54495</v>
      </c>
      <c r="AM32" s="77">
        <f t="shared" si="4"/>
        <v>17</v>
      </c>
      <c r="AN32" s="24">
        <v>119308387</v>
      </c>
      <c r="AO32" s="76">
        <v>62668</v>
      </c>
      <c r="AP32" s="76">
        <v>119245719</v>
      </c>
      <c r="AQ32" s="76">
        <v>176.58</v>
      </c>
      <c r="AR32" s="14">
        <v>56276</v>
      </c>
      <c r="AS32" s="77">
        <f t="shared" si="5"/>
        <v>20</v>
      </c>
      <c r="AT32" s="37"/>
      <c r="AU32" s="38"/>
    </row>
    <row r="33" spans="1:47" ht="18" customHeight="1">
      <c r="A33" s="65">
        <v>349</v>
      </c>
      <c r="B33" s="68" t="s">
        <v>88</v>
      </c>
      <c r="C33" s="33" t="s">
        <v>89</v>
      </c>
      <c r="E33" s="75">
        <v>184105106</v>
      </c>
      <c r="F33" s="76">
        <v>2315524</v>
      </c>
      <c r="G33" s="76">
        <v>181789582</v>
      </c>
      <c r="H33" s="76">
        <v>279</v>
      </c>
      <c r="I33" s="76">
        <v>54298</v>
      </c>
      <c r="J33" s="77">
        <f t="shared" si="0"/>
        <v>8</v>
      </c>
      <c r="K33" s="26"/>
      <c r="L33" s="24">
        <v>184993586</v>
      </c>
      <c r="M33" s="76">
        <v>2315524</v>
      </c>
      <c r="N33" s="76">
        <v>182678062</v>
      </c>
      <c r="O33" s="76">
        <v>279</v>
      </c>
      <c r="P33" s="14">
        <v>54563</v>
      </c>
      <c r="Q33" s="77">
        <f t="shared" si="1"/>
        <v>8</v>
      </c>
      <c r="R33" s="24">
        <v>175771645</v>
      </c>
      <c r="S33" s="76">
        <v>2727179</v>
      </c>
      <c r="T33" s="76">
        <v>173044466</v>
      </c>
      <c r="U33" s="76">
        <v>249.11</v>
      </c>
      <c r="V33" s="14">
        <v>57888</v>
      </c>
      <c r="W33" s="77">
        <f t="shared" si="2"/>
        <v>9</v>
      </c>
      <c r="X33" s="37">
        <v>124.02708912806868</v>
      </c>
      <c r="Y33" s="38">
        <v>121.4106449474382</v>
      </c>
      <c r="AA33" s="75">
        <v>200583936</v>
      </c>
      <c r="AB33" s="76">
        <v>2315524</v>
      </c>
      <c r="AC33" s="76">
        <v>198268412</v>
      </c>
      <c r="AD33" s="76">
        <v>284</v>
      </c>
      <c r="AE33" s="76">
        <v>58177</v>
      </c>
      <c r="AF33" s="77">
        <f t="shared" si="3"/>
        <v>6</v>
      </c>
      <c r="AG33" s="26"/>
      <c r="AH33" s="24">
        <v>198057976</v>
      </c>
      <c r="AI33" s="76">
        <v>2115524</v>
      </c>
      <c r="AJ33" s="76">
        <v>195942452</v>
      </c>
      <c r="AK33" s="76">
        <v>284</v>
      </c>
      <c r="AL33" s="14">
        <v>57495</v>
      </c>
      <c r="AM33" s="77">
        <f t="shared" si="4"/>
        <v>10</v>
      </c>
      <c r="AN33" s="24">
        <v>187500869</v>
      </c>
      <c r="AO33" s="76">
        <v>2854875</v>
      </c>
      <c r="AP33" s="76">
        <v>184645994</v>
      </c>
      <c r="AQ33" s="76">
        <v>254.63</v>
      </c>
      <c r="AR33" s="14">
        <v>60430</v>
      </c>
      <c r="AS33" s="77">
        <f t="shared" si="5"/>
        <v>12</v>
      </c>
      <c r="AT33" s="37"/>
      <c r="AU33" s="38"/>
    </row>
    <row r="34" spans="1:47" ht="18" customHeight="1">
      <c r="A34" s="65">
        <v>353</v>
      </c>
      <c r="B34" s="68" t="s">
        <v>48</v>
      </c>
      <c r="C34" s="33" t="s">
        <v>49</v>
      </c>
      <c r="E34" s="75">
        <v>149999083</v>
      </c>
      <c r="F34" s="76">
        <v>2003182</v>
      </c>
      <c r="G34" s="76">
        <v>147995901</v>
      </c>
      <c r="H34" s="76">
        <v>241</v>
      </c>
      <c r="I34" s="76">
        <v>51174</v>
      </c>
      <c r="J34" s="77">
        <f t="shared" si="0"/>
        <v>15</v>
      </c>
      <c r="K34" s="26"/>
      <c r="L34" s="24">
        <v>165377206</v>
      </c>
      <c r="M34" s="76">
        <v>2303182</v>
      </c>
      <c r="N34" s="76">
        <v>163074024</v>
      </c>
      <c r="O34" s="76">
        <v>257</v>
      </c>
      <c r="P34" s="14">
        <v>52877</v>
      </c>
      <c r="Q34" s="77">
        <f t="shared" si="1"/>
        <v>13</v>
      </c>
      <c r="R34" s="24">
        <v>171563955</v>
      </c>
      <c r="S34" s="76">
        <v>2918870</v>
      </c>
      <c r="T34" s="76">
        <v>168645085</v>
      </c>
      <c r="U34" s="76">
        <v>250.21</v>
      </c>
      <c r="V34" s="14">
        <v>56168</v>
      </c>
      <c r="W34" s="77">
        <f t="shared" si="2"/>
        <v>14</v>
      </c>
      <c r="X34" s="37">
        <v>98.910697254153916</v>
      </c>
      <c r="Y34" s="38">
        <v>106.54842372789703</v>
      </c>
      <c r="AA34" s="75">
        <v>179277163</v>
      </c>
      <c r="AB34" s="76">
        <v>2303182</v>
      </c>
      <c r="AC34" s="76">
        <v>176973981</v>
      </c>
      <c r="AD34" s="76">
        <v>262</v>
      </c>
      <c r="AE34" s="76">
        <v>56289</v>
      </c>
      <c r="AF34" s="77">
        <f t="shared" si="3"/>
        <v>10</v>
      </c>
      <c r="AG34" s="26"/>
      <c r="AH34" s="24">
        <v>181206803</v>
      </c>
      <c r="AI34" s="76">
        <v>3235382</v>
      </c>
      <c r="AJ34" s="76">
        <v>177971421</v>
      </c>
      <c r="AK34" s="76">
        <v>262</v>
      </c>
      <c r="AL34" s="14">
        <v>56607</v>
      </c>
      <c r="AM34" s="77">
        <f t="shared" si="4"/>
        <v>13</v>
      </c>
      <c r="AN34" s="24">
        <v>178842968</v>
      </c>
      <c r="AO34" s="76">
        <v>2897179</v>
      </c>
      <c r="AP34" s="76">
        <v>175945789</v>
      </c>
      <c r="AQ34" s="76">
        <v>246.5</v>
      </c>
      <c r="AR34" s="14">
        <v>59481</v>
      </c>
      <c r="AS34" s="77">
        <f t="shared" si="5"/>
        <v>14</v>
      </c>
      <c r="AT34" s="37"/>
      <c r="AU34" s="38"/>
    </row>
    <row r="35" spans="1:47" ht="18" customHeight="1">
      <c r="A35" s="65">
        <v>355</v>
      </c>
      <c r="B35" s="68" t="s">
        <v>100</v>
      </c>
      <c r="C35" s="33" t="s">
        <v>202</v>
      </c>
      <c r="E35" s="75">
        <v>116606233</v>
      </c>
      <c r="F35" s="76">
        <v>4511852</v>
      </c>
      <c r="G35" s="76">
        <v>112094381</v>
      </c>
      <c r="H35" s="76">
        <v>265</v>
      </c>
      <c r="I35" s="76">
        <v>35250</v>
      </c>
      <c r="J35" s="77">
        <f t="shared" si="0"/>
        <v>43</v>
      </c>
      <c r="K35" s="26"/>
      <c r="L35" s="24">
        <v>125957294</v>
      </c>
      <c r="M35" s="76">
        <v>6845692</v>
      </c>
      <c r="N35" s="76">
        <v>119111602</v>
      </c>
      <c r="O35" s="76">
        <v>266</v>
      </c>
      <c r="P35" s="14">
        <v>37316</v>
      </c>
      <c r="Q35" s="77">
        <f t="shared" si="1"/>
        <v>43</v>
      </c>
      <c r="R35" s="24">
        <v>126227464.75999999</v>
      </c>
      <c r="S35" s="76">
        <v>7337572</v>
      </c>
      <c r="T35" s="76">
        <v>118889892.75999999</v>
      </c>
      <c r="U35" s="76">
        <v>239.33</v>
      </c>
      <c r="V35" s="14">
        <v>41397</v>
      </c>
      <c r="W35" s="77">
        <f t="shared" si="2"/>
        <v>42</v>
      </c>
      <c r="X35" s="37">
        <v>109.06784575239199</v>
      </c>
      <c r="Y35" s="38">
        <v>105.00348918353106</v>
      </c>
      <c r="AA35" s="75">
        <v>126618333</v>
      </c>
      <c r="AB35" s="76">
        <v>5008652</v>
      </c>
      <c r="AC35" s="76">
        <v>121609681</v>
      </c>
      <c r="AD35" s="76">
        <v>267</v>
      </c>
      <c r="AE35" s="76">
        <v>37956</v>
      </c>
      <c r="AF35" s="77">
        <f t="shared" si="3"/>
        <v>42</v>
      </c>
      <c r="AG35" s="26"/>
      <c r="AH35" s="24">
        <v>131464333</v>
      </c>
      <c r="AI35" s="76">
        <v>5904652</v>
      </c>
      <c r="AJ35" s="76">
        <v>125559681</v>
      </c>
      <c r="AK35" s="76">
        <v>267</v>
      </c>
      <c r="AL35" s="14">
        <v>39188</v>
      </c>
      <c r="AM35" s="77">
        <f t="shared" si="4"/>
        <v>43</v>
      </c>
      <c r="AN35" s="24">
        <v>129797115</v>
      </c>
      <c r="AO35" s="76">
        <v>5443802</v>
      </c>
      <c r="AP35" s="76">
        <v>124353313</v>
      </c>
      <c r="AQ35" s="76">
        <v>241.95</v>
      </c>
      <c r="AR35" s="14">
        <v>42830</v>
      </c>
      <c r="AS35" s="77">
        <f t="shared" si="5"/>
        <v>43</v>
      </c>
      <c r="AT35" s="37"/>
      <c r="AU35" s="38"/>
    </row>
    <row r="36" spans="1:47" ht="18" customHeight="1">
      <c r="A36" s="65">
        <v>358</v>
      </c>
      <c r="B36" s="68" t="s">
        <v>50</v>
      </c>
      <c r="C36" s="33" t="s">
        <v>51</v>
      </c>
      <c r="D36" s="9"/>
      <c r="E36" s="75">
        <v>129986808</v>
      </c>
      <c r="F36" s="76">
        <v>51387392</v>
      </c>
      <c r="G36" s="76">
        <v>78599416</v>
      </c>
      <c r="H36" s="76">
        <v>129</v>
      </c>
      <c r="I36" s="76">
        <v>50775</v>
      </c>
      <c r="J36" s="77">
        <f t="shared" si="0"/>
        <v>19</v>
      </c>
      <c r="K36" s="26"/>
      <c r="L36" s="24">
        <v>132797208</v>
      </c>
      <c r="M36" s="76">
        <v>54197792</v>
      </c>
      <c r="N36" s="76">
        <v>78599416</v>
      </c>
      <c r="O36" s="76">
        <v>129</v>
      </c>
      <c r="P36" s="14">
        <v>50775</v>
      </c>
      <c r="Q36" s="77">
        <f t="shared" si="1"/>
        <v>19</v>
      </c>
      <c r="R36" s="24">
        <v>131930019</v>
      </c>
      <c r="S36" s="76">
        <v>51245856</v>
      </c>
      <c r="T36" s="76">
        <v>80684163</v>
      </c>
      <c r="U36" s="76">
        <v>123.43</v>
      </c>
      <c r="V36" s="14">
        <v>54474</v>
      </c>
      <c r="W36" s="77">
        <f t="shared" si="2"/>
        <v>19</v>
      </c>
      <c r="X36" s="37">
        <v>105.72978596908442</v>
      </c>
      <c r="Y36" s="38">
        <v>105.27341341291962</v>
      </c>
      <c r="AA36" s="75">
        <v>136165869</v>
      </c>
      <c r="AB36" s="76">
        <v>51572200</v>
      </c>
      <c r="AC36" s="76">
        <v>84593669</v>
      </c>
      <c r="AD36" s="76">
        <v>129</v>
      </c>
      <c r="AE36" s="76">
        <v>54647</v>
      </c>
      <c r="AF36" s="77">
        <f t="shared" si="3"/>
        <v>15</v>
      </c>
      <c r="AG36" s="26"/>
      <c r="AH36" s="24">
        <v>136165869</v>
      </c>
      <c r="AI36" s="76">
        <v>51572200</v>
      </c>
      <c r="AJ36" s="76">
        <v>84593669</v>
      </c>
      <c r="AK36" s="76">
        <v>129</v>
      </c>
      <c r="AL36" s="14">
        <v>54647</v>
      </c>
      <c r="AM36" s="77">
        <f t="shared" si="4"/>
        <v>16</v>
      </c>
      <c r="AN36" s="24">
        <v>138829583</v>
      </c>
      <c r="AO36" s="76">
        <v>52883945</v>
      </c>
      <c r="AP36" s="76">
        <v>85945638</v>
      </c>
      <c r="AQ36" s="76">
        <v>124.69</v>
      </c>
      <c r="AR36" s="14">
        <v>57440</v>
      </c>
      <c r="AS36" s="77">
        <f t="shared" si="5"/>
        <v>18</v>
      </c>
      <c r="AT36" s="37"/>
      <c r="AU36" s="38"/>
    </row>
    <row r="37" spans="1:47" ht="18" customHeight="1">
      <c r="A37" s="65">
        <v>359</v>
      </c>
      <c r="B37" s="68" t="s">
        <v>190</v>
      </c>
      <c r="C37" s="33" t="s">
        <v>203</v>
      </c>
      <c r="D37" s="9"/>
      <c r="E37" s="75">
        <v>14180171</v>
      </c>
      <c r="F37" s="76">
        <v>6202800</v>
      </c>
      <c r="G37" s="76">
        <v>7977371</v>
      </c>
      <c r="H37" s="76">
        <v>12</v>
      </c>
      <c r="I37" s="76">
        <v>55398</v>
      </c>
      <c r="J37" s="77">
        <f t="shared" si="0"/>
        <v>6</v>
      </c>
      <c r="K37" s="26"/>
      <c r="L37" s="24">
        <v>14180171</v>
      </c>
      <c r="M37" s="76">
        <v>6202800</v>
      </c>
      <c r="N37" s="76">
        <v>7977371</v>
      </c>
      <c r="O37" s="76">
        <v>12</v>
      </c>
      <c r="P37" s="14">
        <v>55398</v>
      </c>
      <c r="Q37" s="77">
        <f t="shared" si="1"/>
        <v>7</v>
      </c>
      <c r="R37" s="24">
        <v>14072069</v>
      </c>
      <c r="S37" s="76">
        <v>5986950</v>
      </c>
      <c r="T37" s="76">
        <v>8085119</v>
      </c>
      <c r="U37" s="76">
        <v>11.84</v>
      </c>
      <c r="V37" s="14">
        <v>56905</v>
      </c>
      <c r="W37" s="77">
        <f t="shared" si="2"/>
        <v>12</v>
      </c>
      <c r="X37" s="37">
        <v>0</v>
      </c>
      <c r="Y37" s="38">
        <v>0</v>
      </c>
      <c r="AA37" s="75">
        <v>15302640</v>
      </c>
      <c r="AB37" s="76">
        <v>6926400</v>
      </c>
      <c r="AC37" s="76">
        <v>8376240</v>
      </c>
      <c r="AD37" s="76">
        <v>12</v>
      </c>
      <c r="AE37" s="76">
        <v>58168</v>
      </c>
      <c r="AF37" s="77">
        <f t="shared" si="3"/>
        <v>7</v>
      </c>
      <c r="AG37" s="26"/>
      <c r="AH37" s="24">
        <v>15302640</v>
      </c>
      <c r="AI37" s="76">
        <v>6926400</v>
      </c>
      <c r="AJ37" s="76">
        <v>8376240</v>
      </c>
      <c r="AK37" s="76">
        <v>12</v>
      </c>
      <c r="AL37" s="14">
        <v>58168</v>
      </c>
      <c r="AM37" s="77">
        <f t="shared" si="4"/>
        <v>9</v>
      </c>
      <c r="AN37" s="24">
        <v>15562806</v>
      </c>
      <c r="AO37" s="76">
        <v>6247900</v>
      </c>
      <c r="AP37" s="76">
        <v>9314906</v>
      </c>
      <c r="AQ37" s="76">
        <v>11.83</v>
      </c>
      <c r="AR37" s="14">
        <v>65616</v>
      </c>
      <c r="AS37" s="77">
        <f t="shared" si="5"/>
        <v>7</v>
      </c>
      <c r="AT37" s="37"/>
      <c r="AU37" s="38"/>
    </row>
    <row r="38" spans="1:47" ht="18" customHeight="1">
      <c r="A38" s="65">
        <v>361</v>
      </c>
      <c r="B38" s="68" t="s">
        <v>52</v>
      </c>
      <c r="C38" s="33" t="s">
        <v>53</v>
      </c>
      <c r="D38" s="9"/>
      <c r="E38" s="75">
        <v>53272327</v>
      </c>
      <c r="F38" s="76">
        <v>9711740</v>
      </c>
      <c r="G38" s="76">
        <v>43560587</v>
      </c>
      <c r="H38" s="76">
        <v>71</v>
      </c>
      <c r="I38" s="76">
        <v>51127</v>
      </c>
      <c r="J38" s="77">
        <f t="shared" si="0"/>
        <v>17</v>
      </c>
      <c r="K38" s="26"/>
      <c r="L38" s="24">
        <v>53739722</v>
      </c>
      <c r="M38" s="76">
        <v>9779135</v>
      </c>
      <c r="N38" s="76">
        <v>43960587</v>
      </c>
      <c r="O38" s="76">
        <v>71</v>
      </c>
      <c r="P38" s="14">
        <v>51597</v>
      </c>
      <c r="Q38" s="77">
        <f t="shared" si="1"/>
        <v>17</v>
      </c>
      <c r="R38" s="24">
        <v>53403619</v>
      </c>
      <c r="S38" s="76">
        <v>9716277</v>
      </c>
      <c r="T38" s="76">
        <v>43687342</v>
      </c>
      <c r="U38" s="76">
        <v>66.86</v>
      </c>
      <c r="V38" s="14">
        <v>54451</v>
      </c>
      <c r="W38" s="77">
        <f t="shared" si="2"/>
        <v>20</v>
      </c>
      <c r="X38" s="37">
        <v>104.75618647338851</v>
      </c>
      <c r="Y38" s="38">
        <v>104.37569438509529</v>
      </c>
      <c r="AA38" s="75">
        <v>55450356</v>
      </c>
      <c r="AB38" s="76">
        <v>9711740</v>
      </c>
      <c r="AC38" s="76">
        <v>45738616</v>
      </c>
      <c r="AD38" s="76">
        <v>71</v>
      </c>
      <c r="AE38" s="76">
        <v>53684</v>
      </c>
      <c r="AF38" s="77">
        <f t="shared" si="3"/>
        <v>20</v>
      </c>
      <c r="AG38" s="26"/>
      <c r="AH38" s="24">
        <v>57734532</v>
      </c>
      <c r="AI38" s="76">
        <v>10707500</v>
      </c>
      <c r="AJ38" s="76">
        <v>47027032</v>
      </c>
      <c r="AK38" s="76">
        <v>73</v>
      </c>
      <c r="AL38" s="14">
        <v>53684</v>
      </c>
      <c r="AM38" s="77">
        <f t="shared" si="4"/>
        <v>20</v>
      </c>
      <c r="AN38" s="24">
        <v>57276072</v>
      </c>
      <c r="AO38" s="76">
        <v>10787108</v>
      </c>
      <c r="AP38" s="76">
        <v>46488964</v>
      </c>
      <c r="AQ38" s="76">
        <v>68.69</v>
      </c>
      <c r="AR38" s="14">
        <v>56399</v>
      </c>
      <c r="AS38" s="77">
        <f t="shared" si="5"/>
        <v>19</v>
      </c>
      <c r="AT38" s="37"/>
      <c r="AU38" s="38"/>
    </row>
    <row r="39" spans="1:47" ht="18" customHeight="1">
      <c r="A39" s="65">
        <v>362</v>
      </c>
      <c r="B39" s="68" t="s">
        <v>187</v>
      </c>
      <c r="C39" s="33" t="s">
        <v>204</v>
      </c>
      <c r="D39" s="9"/>
      <c r="E39" s="75">
        <v>50394848</v>
      </c>
      <c r="F39" s="76">
        <v>8170182</v>
      </c>
      <c r="G39" s="76">
        <v>42224666</v>
      </c>
      <c r="H39" s="76">
        <v>83</v>
      </c>
      <c r="I39" s="76">
        <v>42394</v>
      </c>
      <c r="J39" s="77">
        <f t="shared" si="0"/>
        <v>36</v>
      </c>
      <c r="K39" s="26"/>
      <c r="L39" s="24">
        <v>61290942</v>
      </c>
      <c r="M39" s="76">
        <v>8170182</v>
      </c>
      <c r="N39" s="76">
        <v>53120760</v>
      </c>
      <c r="O39" s="76">
        <v>84.5</v>
      </c>
      <c r="P39" s="14">
        <v>52387</v>
      </c>
      <c r="Q39" s="77">
        <f t="shared" si="1"/>
        <v>15</v>
      </c>
      <c r="R39" s="24">
        <v>62415320</v>
      </c>
      <c r="S39" s="76">
        <v>8825455</v>
      </c>
      <c r="T39" s="76">
        <v>53589865</v>
      </c>
      <c r="U39" s="76">
        <v>77.5</v>
      </c>
      <c r="V39" s="14">
        <v>57624</v>
      </c>
      <c r="W39" s="77">
        <f t="shared" si="2"/>
        <v>10</v>
      </c>
      <c r="X39" s="37">
        <v>0</v>
      </c>
      <c r="Y39" s="38">
        <v>0</v>
      </c>
      <c r="AA39" s="75">
        <v>64665780</v>
      </c>
      <c r="AB39" s="76">
        <v>8888982</v>
      </c>
      <c r="AC39" s="76">
        <v>55776798</v>
      </c>
      <c r="AD39" s="76">
        <v>86</v>
      </c>
      <c r="AE39" s="76">
        <v>54047</v>
      </c>
      <c r="AF39" s="77">
        <f t="shared" si="3"/>
        <v>17</v>
      </c>
      <c r="AG39" s="26"/>
      <c r="AH39" s="24">
        <v>67560781</v>
      </c>
      <c r="AI39" s="76">
        <v>8888982</v>
      </c>
      <c r="AJ39" s="76">
        <v>58671799</v>
      </c>
      <c r="AK39" s="76">
        <v>86</v>
      </c>
      <c r="AL39" s="14">
        <v>56853</v>
      </c>
      <c r="AM39" s="77">
        <f t="shared" si="4"/>
        <v>12</v>
      </c>
      <c r="AN39" s="24">
        <v>64594397</v>
      </c>
      <c r="AO39" s="76">
        <v>9710213</v>
      </c>
      <c r="AP39" s="76">
        <v>54884184</v>
      </c>
      <c r="AQ39" s="76">
        <v>78.47</v>
      </c>
      <c r="AR39" s="14">
        <v>58286</v>
      </c>
      <c r="AS39" s="77">
        <f t="shared" si="5"/>
        <v>17</v>
      </c>
      <c r="AT39" s="37"/>
      <c r="AU39" s="38"/>
    </row>
    <row r="40" spans="1:47" ht="18" customHeight="1">
      <c r="A40" s="65">
        <v>364</v>
      </c>
      <c r="B40" s="68" t="s">
        <v>219</v>
      </c>
      <c r="C40" s="33"/>
      <c r="D40" s="9"/>
      <c r="E40" s="75">
        <v>206924933</v>
      </c>
      <c r="F40" s="76">
        <v>5033240</v>
      </c>
      <c r="G40" s="76">
        <v>201891693</v>
      </c>
      <c r="H40" s="76">
        <v>207.5</v>
      </c>
      <c r="I40" s="76">
        <v>81081</v>
      </c>
      <c r="J40" s="77"/>
      <c r="K40" s="26"/>
      <c r="L40" s="24">
        <v>324983930</v>
      </c>
      <c r="M40" s="76">
        <v>27595670</v>
      </c>
      <c r="N40" s="76">
        <v>297388260</v>
      </c>
      <c r="O40" s="76">
        <v>324.67</v>
      </c>
      <c r="P40" s="14">
        <v>76331</v>
      </c>
      <c r="Q40" s="77"/>
      <c r="R40" s="24">
        <v>205453831</v>
      </c>
      <c r="S40" s="76">
        <v>20100351</v>
      </c>
      <c r="T40" s="76">
        <v>185353480</v>
      </c>
      <c r="U40" s="76">
        <v>221.97000000000003</v>
      </c>
      <c r="V40" s="14">
        <v>69587</v>
      </c>
      <c r="W40" s="77"/>
      <c r="X40" s="37"/>
      <c r="Y40" s="38"/>
      <c r="AA40" s="75">
        <v>376169213</v>
      </c>
      <c r="AB40" s="76">
        <v>75043805</v>
      </c>
      <c r="AC40" s="76">
        <v>301125408</v>
      </c>
      <c r="AD40" s="76">
        <v>337</v>
      </c>
      <c r="AE40" s="76">
        <v>74462</v>
      </c>
      <c r="AF40" s="77">
        <f t="shared" si="3"/>
        <v>2</v>
      </c>
      <c r="AG40" s="26"/>
      <c r="AH40" s="24">
        <v>390753807</v>
      </c>
      <c r="AI40" s="76">
        <v>82921805</v>
      </c>
      <c r="AJ40" s="76">
        <v>307832002</v>
      </c>
      <c r="AK40" s="76">
        <v>343.83</v>
      </c>
      <c r="AL40" s="14">
        <v>74609</v>
      </c>
      <c r="AM40" s="77">
        <f t="shared" si="4"/>
        <v>2</v>
      </c>
      <c r="AN40" s="24">
        <v>292930858</v>
      </c>
      <c r="AO40" s="76">
        <v>32743819</v>
      </c>
      <c r="AP40" s="76">
        <v>260187039</v>
      </c>
      <c r="AQ40" s="76">
        <v>280.89</v>
      </c>
      <c r="AR40" s="14">
        <v>77191</v>
      </c>
      <c r="AS40" s="77"/>
      <c r="AT40" s="37"/>
      <c r="AU40" s="38"/>
    </row>
    <row r="41" spans="1:47" ht="18" customHeight="1">
      <c r="A41" s="65">
        <v>371</v>
      </c>
      <c r="B41" s="68" t="s">
        <v>193</v>
      </c>
      <c r="C41" s="33" t="s">
        <v>205</v>
      </c>
      <c r="D41" s="9"/>
      <c r="E41" s="75">
        <v>16986049</v>
      </c>
      <c r="F41" s="76">
        <v>700000</v>
      </c>
      <c r="G41" s="76">
        <v>16286049</v>
      </c>
      <c r="H41" s="76">
        <v>19</v>
      </c>
      <c r="I41" s="76">
        <v>71430</v>
      </c>
      <c r="J41" s="77">
        <f t="shared" ref="J41:J49" si="6">RANK(I41,I$6:I$49,0)</f>
        <v>2</v>
      </c>
      <c r="K41" s="26"/>
      <c r="L41" s="24">
        <v>16986049</v>
      </c>
      <c r="M41" s="76">
        <v>700000</v>
      </c>
      <c r="N41" s="76">
        <v>16286049</v>
      </c>
      <c r="O41" s="76">
        <v>19</v>
      </c>
      <c r="P41" s="14">
        <v>71430</v>
      </c>
      <c r="Q41" s="77">
        <f>RANK(P41,P$6:P$49,0)</f>
        <v>2</v>
      </c>
      <c r="R41" s="24">
        <v>15266854</v>
      </c>
      <c r="S41" s="76">
        <v>37875</v>
      </c>
      <c r="T41" s="76">
        <v>15228979</v>
      </c>
      <c r="U41" s="76">
        <v>18.399999999999999</v>
      </c>
      <c r="V41" s="14">
        <v>68972</v>
      </c>
      <c r="W41" s="77">
        <f>RANK(V41,V$6:V$49,0)</f>
        <v>3</v>
      </c>
      <c r="X41" s="37">
        <v>127.00461391491697</v>
      </c>
      <c r="Y41" s="38">
        <v>0</v>
      </c>
      <c r="AA41" s="75">
        <v>19462623</v>
      </c>
      <c r="AB41" s="76">
        <v>700000</v>
      </c>
      <c r="AC41" s="76">
        <v>18762623</v>
      </c>
      <c r="AD41" s="76">
        <v>20</v>
      </c>
      <c r="AE41" s="76">
        <v>78178</v>
      </c>
      <c r="AF41" s="77">
        <f t="shared" si="3"/>
        <v>1</v>
      </c>
      <c r="AG41" s="26"/>
      <c r="AH41" s="24">
        <v>19462623</v>
      </c>
      <c r="AI41" s="76">
        <v>700000</v>
      </c>
      <c r="AJ41" s="76">
        <v>18762623</v>
      </c>
      <c r="AK41" s="76">
        <v>20</v>
      </c>
      <c r="AL41" s="14">
        <v>78178</v>
      </c>
      <c r="AM41" s="77">
        <f t="shared" si="4"/>
        <v>1</v>
      </c>
      <c r="AN41" s="24">
        <v>18094945</v>
      </c>
      <c r="AO41" s="76">
        <v>28125</v>
      </c>
      <c r="AP41" s="76">
        <v>18066820</v>
      </c>
      <c r="AQ41" s="76">
        <v>19.53</v>
      </c>
      <c r="AR41" s="14">
        <v>77090</v>
      </c>
      <c r="AS41" s="77">
        <f>RANK(AR41,AR$6:AR$49,0)</f>
        <v>3</v>
      </c>
      <c r="AT41" s="37"/>
      <c r="AU41" s="38"/>
    </row>
    <row r="42" spans="1:47" ht="18" customHeight="1">
      <c r="A42" s="65">
        <v>372</v>
      </c>
      <c r="B42" s="68" t="s">
        <v>54</v>
      </c>
      <c r="C42" s="33" t="s">
        <v>55</v>
      </c>
      <c r="D42" s="9"/>
      <c r="E42" s="75">
        <v>43284149</v>
      </c>
      <c r="F42" s="76">
        <v>17917296</v>
      </c>
      <c r="G42" s="76">
        <v>25366853</v>
      </c>
      <c r="H42" s="76">
        <v>48</v>
      </c>
      <c r="I42" s="76">
        <v>44040</v>
      </c>
      <c r="J42" s="77">
        <f t="shared" si="6"/>
        <v>32</v>
      </c>
      <c r="K42" s="26"/>
      <c r="L42" s="24">
        <v>42703882</v>
      </c>
      <c r="M42" s="76">
        <v>17337029</v>
      </c>
      <c r="N42" s="76">
        <v>25366853</v>
      </c>
      <c r="O42" s="76">
        <v>48</v>
      </c>
      <c r="P42" s="14">
        <v>44040</v>
      </c>
      <c r="Q42" s="77">
        <f>RANK(P42,P$6:P$49,0)</f>
        <v>34</v>
      </c>
      <c r="R42" s="24">
        <v>41385445</v>
      </c>
      <c r="S42" s="76">
        <v>17272632</v>
      </c>
      <c r="T42" s="76">
        <v>24112813</v>
      </c>
      <c r="U42" s="76">
        <v>44</v>
      </c>
      <c r="V42" s="14">
        <v>45668</v>
      </c>
      <c r="W42" s="77">
        <f>RANK(V42,V$6:V$49,0)</f>
        <v>36</v>
      </c>
      <c r="X42" s="37">
        <v>109.87889628478433</v>
      </c>
      <c r="Y42" s="38">
        <v>107.11182254745026</v>
      </c>
      <c r="AA42" s="75">
        <v>48661592</v>
      </c>
      <c r="AB42" s="76">
        <v>20188896</v>
      </c>
      <c r="AC42" s="76">
        <v>28472696</v>
      </c>
      <c r="AD42" s="76">
        <v>48</v>
      </c>
      <c r="AE42" s="76">
        <v>49432</v>
      </c>
      <c r="AF42" s="77">
        <f t="shared" si="3"/>
        <v>27</v>
      </c>
      <c r="AG42" s="26"/>
      <c r="AH42" s="24">
        <v>48661592</v>
      </c>
      <c r="AI42" s="76">
        <v>20188896</v>
      </c>
      <c r="AJ42" s="76">
        <v>28472696</v>
      </c>
      <c r="AK42" s="76">
        <v>48</v>
      </c>
      <c r="AL42" s="14">
        <v>49432</v>
      </c>
      <c r="AM42" s="77">
        <f t="shared" si="4"/>
        <v>27</v>
      </c>
      <c r="AN42" s="24">
        <v>46443629</v>
      </c>
      <c r="AO42" s="76">
        <v>19556123</v>
      </c>
      <c r="AP42" s="76">
        <v>26887506</v>
      </c>
      <c r="AQ42" s="76">
        <v>43</v>
      </c>
      <c r="AR42" s="14">
        <v>52108</v>
      </c>
      <c r="AS42" s="77">
        <f>RANK(AR42,AR$6:AR$49,0)</f>
        <v>30</v>
      </c>
      <c r="AT42" s="37"/>
      <c r="AU42" s="38"/>
    </row>
    <row r="43" spans="1:47" ht="18" customHeight="1">
      <c r="A43" s="65">
        <v>373</v>
      </c>
      <c r="B43" s="68" t="s">
        <v>188</v>
      </c>
      <c r="C43" s="33"/>
      <c r="D43" s="9"/>
      <c r="E43" s="75">
        <v>15140797</v>
      </c>
      <c r="F43" s="76">
        <v>300000</v>
      </c>
      <c r="G43" s="76">
        <v>14840797</v>
      </c>
      <c r="H43" s="76">
        <v>23</v>
      </c>
      <c r="I43" s="76">
        <v>53771</v>
      </c>
      <c r="J43" s="77">
        <f t="shared" si="6"/>
        <v>9</v>
      </c>
      <c r="K43" s="26"/>
      <c r="L43" s="24"/>
      <c r="M43" s="76"/>
      <c r="N43" s="76"/>
      <c r="O43" s="76"/>
      <c r="P43" s="14"/>
      <c r="Q43" s="77"/>
      <c r="R43" s="24"/>
      <c r="S43" s="76"/>
      <c r="T43" s="76"/>
      <c r="U43" s="76"/>
      <c r="V43" s="14"/>
      <c r="W43" s="77"/>
      <c r="X43" s="37">
        <v>103.71916419036837</v>
      </c>
      <c r="Y43" s="38">
        <v>0</v>
      </c>
      <c r="AA43" s="75"/>
      <c r="AB43" s="76"/>
      <c r="AC43" s="76"/>
      <c r="AD43" s="76"/>
      <c r="AE43" s="76"/>
      <c r="AF43" s="77"/>
      <c r="AG43" s="26"/>
      <c r="AH43" s="24"/>
      <c r="AI43" s="76"/>
      <c r="AJ43" s="76"/>
      <c r="AK43" s="76"/>
      <c r="AL43" s="14"/>
      <c r="AM43" s="77"/>
      <c r="AN43" s="24"/>
      <c r="AO43" s="76"/>
      <c r="AP43" s="76"/>
      <c r="AQ43" s="76"/>
      <c r="AR43" s="14"/>
      <c r="AS43" s="77"/>
      <c r="AT43" s="37"/>
      <c r="AU43" s="38"/>
    </row>
    <row r="44" spans="1:47" ht="18" customHeight="1">
      <c r="A44" s="65">
        <v>374</v>
      </c>
      <c r="B44" s="68" t="s">
        <v>56</v>
      </c>
      <c r="C44" s="33" t="s">
        <v>57</v>
      </c>
      <c r="D44" s="9"/>
      <c r="E44" s="75">
        <v>205656880</v>
      </c>
      <c r="F44" s="76">
        <v>1357529</v>
      </c>
      <c r="G44" s="76">
        <v>204299351</v>
      </c>
      <c r="H44" s="76">
        <v>416</v>
      </c>
      <c r="I44" s="76">
        <v>40925</v>
      </c>
      <c r="J44" s="77">
        <f t="shared" si="6"/>
        <v>37</v>
      </c>
      <c r="K44" s="26"/>
      <c r="L44" s="24">
        <v>209421880</v>
      </c>
      <c r="M44" s="76">
        <v>1357529</v>
      </c>
      <c r="N44" s="76">
        <v>208064351</v>
      </c>
      <c r="O44" s="76">
        <v>416</v>
      </c>
      <c r="P44" s="14">
        <v>41680</v>
      </c>
      <c r="Q44" s="77">
        <f t="shared" ref="Q44:Q49" si="7">RANK(P44,P$6:P$49,0)</f>
        <v>38</v>
      </c>
      <c r="R44" s="24">
        <v>205569155</v>
      </c>
      <c r="S44" s="76">
        <v>1265364</v>
      </c>
      <c r="T44" s="76">
        <v>204303791</v>
      </c>
      <c r="U44" s="76">
        <v>373.85</v>
      </c>
      <c r="V44" s="14">
        <v>45540</v>
      </c>
      <c r="W44" s="77">
        <f t="shared" ref="W44:W49" si="8">RANK(V44,V$6:V$49,0)</f>
        <v>37</v>
      </c>
      <c r="X44" s="37">
        <v>105.08833043045533</v>
      </c>
      <c r="Y44" s="38">
        <v>105.58749999999999</v>
      </c>
      <c r="AA44" s="75">
        <v>215014318</v>
      </c>
      <c r="AB44" s="76">
        <v>1357529</v>
      </c>
      <c r="AC44" s="76">
        <v>213656789</v>
      </c>
      <c r="AD44" s="76">
        <v>416</v>
      </c>
      <c r="AE44" s="76">
        <v>42800</v>
      </c>
      <c r="AF44" s="77">
        <f t="shared" ref="AF44:AF49" si="9">RANK(AE44,AE$6:AE$49,0)</f>
        <v>39</v>
      </c>
      <c r="AG44" s="26"/>
      <c r="AH44" s="24">
        <v>215014318</v>
      </c>
      <c r="AI44" s="76">
        <v>1357529</v>
      </c>
      <c r="AJ44" s="76">
        <v>213656789</v>
      </c>
      <c r="AK44" s="76">
        <v>416</v>
      </c>
      <c r="AL44" s="14">
        <v>42800</v>
      </c>
      <c r="AM44" s="77">
        <f t="shared" ref="AM44:AM49" si="10">RANK(AL44,AL$6:AL$49,0)</f>
        <v>39</v>
      </c>
      <c r="AN44" s="24">
        <v>218663897</v>
      </c>
      <c r="AO44" s="76">
        <v>1847377</v>
      </c>
      <c r="AP44" s="76">
        <v>216816520</v>
      </c>
      <c r="AQ44" s="76">
        <v>376.14</v>
      </c>
      <c r="AR44" s="14">
        <v>48035</v>
      </c>
      <c r="AS44" s="77">
        <f t="shared" ref="AS44:AS49" si="11">RANK(AR44,AR$6:AR$49,0)</f>
        <v>37</v>
      </c>
      <c r="AT44" s="37"/>
      <c r="AU44" s="38"/>
    </row>
    <row r="45" spans="1:47" ht="18" customHeight="1">
      <c r="A45" s="65">
        <v>375</v>
      </c>
      <c r="B45" s="68" t="s">
        <v>58</v>
      </c>
      <c r="C45" s="33" t="s">
        <v>59</v>
      </c>
      <c r="D45" s="9"/>
      <c r="E45" s="75">
        <v>152152559</v>
      </c>
      <c r="F45" s="76">
        <v>2000700</v>
      </c>
      <c r="G45" s="76">
        <v>150151859</v>
      </c>
      <c r="H45" s="76">
        <v>218</v>
      </c>
      <c r="I45" s="76">
        <v>57397</v>
      </c>
      <c r="J45" s="77">
        <f t="shared" si="6"/>
        <v>4</v>
      </c>
      <c r="K45" s="26"/>
      <c r="L45" s="24">
        <v>152152559</v>
      </c>
      <c r="M45" s="76">
        <v>2000700</v>
      </c>
      <c r="N45" s="76">
        <v>150151859</v>
      </c>
      <c r="O45" s="76">
        <v>218</v>
      </c>
      <c r="P45" s="14">
        <v>57397</v>
      </c>
      <c r="Q45" s="77">
        <f t="shared" si="7"/>
        <v>5</v>
      </c>
      <c r="R45" s="24">
        <v>150907206</v>
      </c>
      <c r="S45" s="76">
        <v>2792212</v>
      </c>
      <c r="T45" s="76">
        <v>148114994</v>
      </c>
      <c r="U45" s="76">
        <v>196.82</v>
      </c>
      <c r="V45" s="14">
        <v>62712</v>
      </c>
      <c r="W45" s="77">
        <f t="shared" si="8"/>
        <v>5</v>
      </c>
      <c r="X45" s="37">
        <v>104.95618561916903</v>
      </c>
      <c r="Y45" s="38">
        <v>108.3030530844088</v>
      </c>
      <c r="AA45" s="75">
        <v>170611915</v>
      </c>
      <c r="AB45" s="76">
        <v>2000700</v>
      </c>
      <c r="AC45" s="76">
        <v>168611215</v>
      </c>
      <c r="AD45" s="76">
        <v>237</v>
      </c>
      <c r="AE45" s="76">
        <v>59287</v>
      </c>
      <c r="AF45" s="77">
        <f t="shared" si="9"/>
        <v>5</v>
      </c>
      <c r="AG45" s="26"/>
      <c r="AH45" s="24">
        <v>170611915</v>
      </c>
      <c r="AI45" s="76">
        <v>2000700</v>
      </c>
      <c r="AJ45" s="76">
        <v>168611215</v>
      </c>
      <c r="AK45" s="76">
        <v>237</v>
      </c>
      <c r="AL45" s="14">
        <v>59287</v>
      </c>
      <c r="AM45" s="77">
        <f t="shared" si="10"/>
        <v>7</v>
      </c>
      <c r="AN45" s="24">
        <v>165650329</v>
      </c>
      <c r="AO45" s="76">
        <v>3194379</v>
      </c>
      <c r="AP45" s="76">
        <v>162455950</v>
      </c>
      <c r="AQ45" s="76">
        <v>204.75</v>
      </c>
      <c r="AR45" s="14">
        <v>66120</v>
      </c>
      <c r="AS45" s="77">
        <f t="shared" si="11"/>
        <v>6</v>
      </c>
      <c r="AT45" s="37"/>
      <c r="AU45" s="38"/>
    </row>
    <row r="46" spans="1:47" ht="18" customHeight="1">
      <c r="A46" s="65">
        <v>376</v>
      </c>
      <c r="B46" s="68" t="s">
        <v>105</v>
      </c>
      <c r="C46" s="33" t="s">
        <v>207</v>
      </c>
      <c r="D46" s="9"/>
      <c r="E46" s="75">
        <v>269397297</v>
      </c>
      <c r="F46" s="76">
        <v>2079040</v>
      </c>
      <c r="G46" s="76">
        <v>267318257</v>
      </c>
      <c r="H46" s="76">
        <v>333</v>
      </c>
      <c r="I46" s="76">
        <v>66896</v>
      </c>
      <c r="J46" s="77">
        <f t="shared" si="6"/>
        <v>3</v>
      </c>
      <c r="K46" s="26"/>
      <c r="L46" s="24">
        <v>269397297</v>
      </c>
      <c r="M46" s="76">
        <v>2079040</v>
      </c>
      <c r="N46" s="76">
        <v>267318257</v>
      </c>
      <c r="O46" s="76">
        <v>333</v>
      </c>
      <c r="P46" s="14">
        <v>66896</v>
      </c>
      <c r="Q46" s="77">
        <f t="shared" si="7"/>
        <v>3</v>
      </c>
      <c r="R46" s="24">
        <v>261921741.5</v>
      </c>
      <c r="S46" s="76">
        <v>2188741</v>
      </c>
      <c r="T46" s="76">
        <v>259733000.5</v>
      </c>
      <c r="U46" s="76">
        <v>297.67</v>
      </c>
      <c r="V46" s="14">
        <v>72713</v>
      </c>
      <c r="W46" s="77">
        <f t="shared" si="8"/>
        <v>1</v>
      </c>
      <c r="X46" s="37">
        <v>111.2952662050176</v>
      </c>
      <c r="Y46" s="38">
        <v>125.59837728194726</v>
      </c>
      <c r="AA46" s="75">
        <v>282763210</v>
      </c>
      <c r="AB46" s="76">
        <v>2079040</v>
      </c>
      <c r="AC46" s="76">
        <v>280684170</v>
      </c>
      <c r="AD46" s="76">
        <v>333</v>
      </c>
      <c r="AE46" s="76">
        <v>70241</v>
      </c>
      <c r="AF46" s="77">
        <f t="shared" si="9"/>
        <v>3</v>
      </c>
      <c r="AG46" s="26"/>
      <c r="AH46" s="24">
        <v>287155210</v>
      </c>
      <c r="AI46" s="76">
        <v>2079040</v>
      </c>
      <c r="AJ46" s="76">
        <v>285076170</v>
      </c>
      <c r="AK46" s="76">
        <v>333</v>
      </c>
      <c r="AL46" s="14">
        <v>71340</v>
      </c>
      <c r="AM46" s="77">
        <f t="shared" si="10"/>
        <v>3</v>
      </c>
      <c r="AN46" s="24">
        <v>277436787</v>
      </c>
      <c r="AO46" s="76">
        <v>1882911</v>
      </c>
      <c r="AP46" s="76">
        <v>275553876</v>
      </c>
      <c r="AQ46" s="76">
        <v>296.26</v>
      </c>
      <c r="AR46" s="14">
        <v>77509</v>
      </c>
      <c r="AS46" s="77">
        <f t="shared" si="11"/>
        <v>1</v>
      </c>
      <c r="AT46" s="37"/>
      <c r="AU46" s="38"/>
    </row>
    <row r="47" spans="1:47" ht="16.5" customHeight="1">
      <c r="A47" s="66">
        <v>377</v>
      </c>
      <c r="B47" s="69" t="s">
        <v>163</v>
      </c>
      <c r="C47" s="33" t="s">
        <v>104</v>
      </c>
      <c r="D47" s="9"/>
      <c r="E47" s="75">
        <v>94505349</v>
      </c>
      <c r="F47" s="76">
        <v>6573835</v>
      </c>
      <c r="G47" s="76">
        <v>87931514</v>
      </c>
      <c r="H47" s="76">
        <v>147.80000000000001</v>
      </c>
      <c r="I47" s="76">
        <v>49578</v>
      </c>
      <c r="J47" s="77">
        <f t="shared" si="6"/>
        <v>21</v>
      </c>
      <c r="K47" s="26"/>
      <c r="L47" s="24">
        <v>95770494</v>
      </c>
      <c r="M47" s="76">
        <v>7608980</v>
      </c>
      <c r="N47" s="76">
        <v>88161514</v>
      </c>
      <c r="O47" s="76">
        <v>148.18</v>
      </c>
      <c r="P47" s="14">
        <v>49580</v>
      </c>
      <c r="Q47" s="77">
        <f t="shared" si="7"/>
        <v>22</v>
      </c>
      <c r="R47" s="24">
        <v>97273820.010000005</v>
      </c>
      <c r="S47" s="76">
        <v>6438206</v>
      </c>
      <c r="T47" s="76">
        <v>90835614.010000005</v>
      </c>
      <c r="U47" s="76">
        <v>146.13</v>
      </c>
      <c r="V47" s="14">
        <v>51801</v>
      </c>
      <c r="W47" s="77">
        <f t="shared" si="8"/>
        <v>24</v>
      </c>
      <c r="X47" s="37">
        <v>107.43836581357127</v>
      </c>
      <c r="Y47" s="38">
        <v>104.93750716660932</v>
      </c>
      <c r="AA47" s="75">
        <v>98095468</v>
      </c>
      <c r="AB47" s="76">
        <v>9523835</v>
      </c>
      <c r="AC47" s="76">
        <v>88571633</v>
      </c>
      <c r="AD47" s="76">
        <v>142.27000000000001</v>
      </c>
      <c r="AE47" s="76">
        <v>51880</v>
      </c>
      <c r="AF47" s="77">
        <f t="shared" si="9"/>
        <v>22</v>
      </c>
      <c r="AG47" s="26"/>
      <c r="AH47" s="24">
        <v>102280425</v>
      </c>
      <c r="AI47" s="76">
        <v>9803835</v>
      </c>
      <c r="AJ47" s="76">
        <v>92476590</v>
      </c>
      <c r="AK47" s="76">
        <v>149.1</v>
      </c>
      <c r="AL47" s="14">
        <v>51686</v>
      </c>
      <c r="AM47" s="77">
        <f t="shared" si="10"/>
        <v>22</v>
      </c>
      <c r="AN47" s="24">
        <v>103230528</v>
      </c>
      <c r="AO47" s="76">
        <v>8010310</v>
      </c>
      <c r="AP47" s="76">
        <v>95220218</v>
      </c>
      <c r="AQ47" s="76">
        <v>144.26</v>
      </c>
      <c r="AR47" s="14">
        <v>55005</v>
      </c>
      <c r="AS47" s="77">
        <f t="shared" si="11"/>
        <v>25</v>
      </c>
      <c r="AT47" s="37"/>
      <c r="AU47" s="38"/>
    </row>
    <row r="48" spans="1:47" ht="18.5" customHeight="1">
      <c r="A48" s="65">
        <v>378</v>
      </c>
      <c r="B48" s="68" t="s">
        <v>189</v>
      </c>
      <c r="C48" s="33" t="s">
        <v>208</v>
      </c>
      <c r="D48" s="9"/>
      <c r="E48" s="75">
        <v>239467965</v>
      </c>
      <c r="F48" s="76">
        <v>803648</v>
      </c>
      <c r="G48" s="76">
        <v>238664317</v>
      </c>
      <c r="H48" s="76">
        <v>373</v>
      </c>
      <c r="I48" s="76">
        <v>53321</v>
      </c>
      <c r="J48" s="77">
        <f t="shared" si="6"/>
        <v>12</v>
      </c>
      <c r="K48" s="26"/>
      <c r="L48" s="24">
        <v>239687745</v>
      </c>
      <c r="M48" s="76">
        <v>803648</v>
      </c>
      <c r="N48" s="76">
        <v>238884097</v>
      </c>
      <c r="O48" s="76">
        <v>373</v>
      </c>
      <c r="P48" s="14">
        <v>53370</v>
      </c>
      <c r="Q48" s="77">
        <f t="shared" si="7"/>
        <v>11</v>
      </c>
      <c r="R48" s="24">
        <v>239020211</v>
      </c>
      <c r="S48" s="76">
        <v>1894625</v>
      </c>
      <c r="T48" s="76">
        <v>237125586</v>
      </c>
      <c r="U48" s="76">
        <v>357.23</v>
      </c>
      <c r="V48" s="14">
        <v>55316</v>
      </c>
      <c r="W48" s="77">
        <f t="shared" si="8"/>
        <v>15</v>
      </c>
      <c r="X48" s="37">
        <v>97.656313192590787</v>
      </c>
      <c r="Y48" s="38">
        <v>0</v>
      </c>
      <c r="AA48" s="75">
        <v>259183747</v>
      </c>
      <c r="AB48" s="76">
        <v>803648</v>
      </c>
      <c r="AC48" s="76">
        <v>258380099</v>
      </c>
      <c r="AD48" s="76">
        <v>385</v>
      </c>
      <c r="AE48" s="76">
        <v>55926</v>
      </c>
      <c r="AF48" s="77">
        <f t="shared" si="9"/>
        <v>12</v>
      </c>
      <c r="AG48" s="26"/>
      <c r="AH48" s="24">
        <v>261641226</v>
      </c>
      <c r="AI48" s="76">
        <v>941502</v>
      </c>
      <c r="AJ48" s="76">
        <v>260699724</v>
      </c>
      <c r="AK48" s="76">
        <v>385.17</v>
      </c>
      <c r="AL48" s="14">
        <v>56404</v>
      </c>
      <c r="AM48" s="77">
        <f t="shared" si="10"/>
        <v>14</v>
      </c>
      <c r="AN48" s="24">
        <v>259017236</v>
      </c>
      <c r="AO48" s="76">
        <v>3805621</v>
      </c>
      <c r="AP48" s="76">
        <v>255211615</v>
      </c>
      <c r="AQ48" s="76">
        <v>364.76</v>
      </c>
      <c r="AR48" s="14">
        <v>58306</v>
      </c>
      <c r="AS48" s="77">
        <f t="shared" si="11"/>
        <v>16</v>
      </c>
      <c r="AT48" s="37"/>
      <c r="AU48" s="38"/>
    </row>
    <row r="49" spans="1:47" ht="18.5" customHeight="1" thickBot="1">
      <c r="A49" s="65">
        <v>381</v>
      </c>
      <c r="B49" s="68" t="s">
        <v>60</v>
      </c>
      <c r="C49" s="33" t="s">
        <v>61</v>
      </c>
      <c r="D49" s="9"/>
      <c r="E49" s="75">
        <v>366875024</v>
      </c>
      <c r="F49" s="76">
        <v>32988794</v>
      </c>
      <c r="G49" s="76">
        <v>333886230</v>
      </c>
      <c r="H49" s="76">
        <v>485</v>
      </c>
      <c r="I49" s="76">
        <v>57369</v>
      </c>
      <c r="J49" s="77">
        <f t="shared" si="6"/>
        <v>5</v>
      </c>
      <c r="K49" s="26"/>
      <c r="L49" s="24">
        <v>366875024</v>
      </c>
      <c r="M49" s="76">
        <v>32988794</v>
      </c>
      <c r="N49" s="76">
        <v>333886230</v>
      </c>
      <c r="O49" s="76">
        <v>485</v>
      </c>
      <c r="P49" s="14">
        <v>57369</v>
      </c>
      <c r="Q49" s="77">
        <f t="shared" si="7"/>
        <v>6</v>
      </c>
      <c r="R49" s="24">
        <v>352532243</v>
      </c>
      <c r="S49" s="76">
        <v>31009531.710000001</v>
      </c>
      <c r="T49" s="76">
        <v>321522711.29000002</v>
      </c>
      <c r="U49" s="76">
        <v>433.12</v>
      </c>
      <c r="V49" s="14">
        <v>61862</v>
      </c>
      <c r="W49" s="77">
        <f t="shared" si="8"/>
        <v>6</v>
      </c>
      <c r="X49" s="37">
        <v>108.47366535292009</v>
      </c>
      <c r="Y49" s="38">
        <v>106.59507514908786</v>
      </c>
      <c r="AA49" s="75">
        <v>387824536</v>
      </c>
      <c r="AB49" s="76">
        <v>37243994</v>
      </c>
      <c r="AC49" s="76">
        <v>350580542</v>
      </c>
      <c r="AD49" s="76">
        <v>475</v>
      </c>
      <c r="AE49" s="76">
        <v>61505</v>
      </c>
      <c r="AF49" s="77">
        <f t="shared" si="9"/>
        <v>4</v>
      </c>
      <c r="AG49" s="26"/>
      <c r="AH49" s="24">
        <v>387824536</v>
      </c>
      <c r="AI49" s="76">
        <v>37243994</v>
      </c>
      <c r="AJ49" s="76">
        <v>350580542</v>
      </c>
      <c r="AK49" s="76">
        <v>475</v>
      </c>
      <c r="AL49" s="14">
        <v>61505</v>
      </c>
      <c r="AM49" s="77">
        <f t="shared" si="10"/>
        <v>4</v>
      </c>
      <c r="AN49" s="24">
        <v>384145688</v>
      </c>
      <c r="AO49" s="76">
        <v>33481326</v>
      </c>
      <c r="AP49" s="76">
        <v>350664362</v>
      </c>
      <c r="AQ49" s="76">
        <v>436.13</v>
      </c>
      <c r="AR49" s="14">
        <v>67003</v>
      </c>
      <c r="AS49" s="77">
        <f t="shared" si="11"/>
        <v>5</v>
      </c>
      <c r="AT49" s="37"/>
      <c r="AU49" s="38"/>
    </row>
    <row r="50" spans="1:47" ht="14">
      <c r="A50" s="342" t="s">
        <v>179</v>
      </c>
      <c r="B50" s="343"/>
      <c r="C50" s="46"/>
      <c r="E50" s="49"/>
      <c r="F50" s="50"/>
      <c r="G50" s="50"/>
      <c r="H50" s="50"/>
      <c r="I50" s="50"/>
      <c r="J50" s="51"/>
      <c r="K50" s="52"/>
      <c r="L50" s="49"/>
      <c r="M50" s="50"/>
      <c r="N50" s="50"/>
      <c r="O50" s="50"/>
      <c r="P50" s="50"/>
      <c r="Q50" s="51"/>
      <c r="R50" s="49"/>
      <c r="S50" s="50"/>
      <c r="T50" s="50"/>
      <c r="U50" s="50"/>
      <c r="V50" s="50"/>
      <c r="W50" s="51"/>
      <c r="X50" s="53"/>
      <c r="Y50" s="52"/>
      <c r="AA50" s="49"/>
      <c r="AB50" s="50"/>
      <c r="AC50" s="50"/>
      <c r="AD50" s="50"/>
      <c r="AE50" s="50"/>
      <c r="AF50" s="51"/>
      <c r="AG50" s="52"/>
      <c r="AH50" s="49"/>
      <c r="AI50" s="50"/>
      <c r="AJ50" s="50"/>
      <c r="AK50" s="50"/>
      <c r="AL50" s="50"/>
      <c r="AM50" s="51"/>
      <c r="AN50" s="49"/>
      <c r="AO50" s="50"/>
      <c r="AP50" s="50"/>
      <c r="AQ50" s="50"/>
      <c r="AR50" s="50"/>
      <c r="AS50" s="51"/>
      <c r="AT50" s="53"/>
      <c r="AU50" s="52"/>
    </row>
    <row r="51" spans="1:47" ht="14">
      <c r="A51" s="344"/>
      <c r="B51" s="345"/>
      <c r="C51" s="35" t="s">
        <v>62</v>
      </c>
      <c r="D51" s="12"/>
      <c r="E51" s="20">
        <f>SUM(E6:E49)</f>
        <v>266566761782</v>
      </c>
      <c r="F51" s="10">
        <f>SUM(F6:F49)</f>
        <v>10877166562</v>
      </c>
      <c r="G51" s="10">
        <f>SUM(G6:G49)</f>
        <v>255689595220</v>
      </c>
      <c r="H51" s="10">
        <f>SUM(H6:H49)</f>
        <v>487591.13999999996</v>
      </c>
      <c r="I51" s="10">
        <f>G51/H51/12</f>
        <v>43699.453333654375</v>
      </c>
      <c r="J51" s="11" t="s">
        <v>63</v>
      </c>
      <c r="K51" s="25"/>
      <c r="L51" s="20">
        <f>SUM(L6:L49)</f>
        <v>274022930491</v>
      </c>
      <c r="M51" s="187">
        <f>SUM(M6:M49)</f>
        <v>12164612882</v>
      </c>
      <c r="N51" s="187">
        <f>SUM(N6:N49)</f>
        <v>261858317609</v>
      </c>
      <c r="O51" s="10">
        <f>SUM(O6:O49)</f>
        <v>496370.78</v>
      </c>
      <c r="P51" s="10">
        <f>N51/O51/12</f>
        <v>43962.149559683319</v>
      </c>
      <c r="Q51" s="11" t="s">
        <v>63</v>
      </c>
      <c r="R51" s="20">
        <f>SUM(R6:R49)</f>
        <v>278559636799.13</v>
      </c>
      <c r="S51" s="187">
        <f>SUM(S6:S49)</f>
        <v>13789195375.15</v>
      </c>
      <c r="T51" s="187">
        <f>SUM(T6:T49)</f>
        <v>264770441423.98001</v>
      </c>
      <c r="U51" s="10">
        <f>SUM(U6:U49)</f>
        <v>487078.23</v>
      </c>
      <c r="V51" s="10">
        <f>T51/U51/12</f>
        <v>45299.09590087476</v>
      </c>
      <c r="W51" s="11" t="s">
        <v>63</v>
      </c>
      <c r="X51" s="40">
        <v>105.05602508056093</v>
      </c>
      <c r="Y51" s="25">
        <v>109.02710753890344</v>
      </c>
      <c r="AA51" s="20">
        <f>SUM(AA6:AA49)</f>
        <v>286822781187</v>
      </c>
      <c r="AB51" s="10">
        <f t="shared" ref="AB51:AD51" si="12">SUM(AB6:AB49)</f>
        <v>11805231248</v>
      </c>
      <c r="AC51" s="10">
        <f t="shared" si="12"/>
        <v>275017549939</v>
      </c>
      <c r="AD51" s="10">
        <f t="shared" si="12"/>
        <v>488960.5166666666</v>
      </c>
      <c r="AE51" s="10">
        <f>IF(AD51=0,0,ROUND(AC51/AD51/12,0))</f>
        <v>46871</v>
      </c>
      <c r="AF51" s="11" t="s">
        <v>63</v>
      </c>
      <c r="AG51" s="25"/>
      <c r="AH51" s="20">
        <f>SUM(AH6:AH49)</f>
        <v>292626094751</v>
      </c>
      <c r="AI51" s="10">
        <f t="shared" ref="AI51:AK51" si="13">SUM(AI6:AI49)</f>
        <v>12572815043</v>
      </c>
      <c r="AJ51" s="10">
        <f t="shared" si="13"/>
        <v>280053279708</v>
      </c>
      <c r="AK51" s="10">
        <f t="shared" si="13"/>
        <v>500544.44</v>
      </c>
      <c r="AL51" s="10">
        <f>IF(AK51=0,0,ROUND(AJ51/AK51/12,0))</f>
        <v>46625</v>
      </c>
      <c r="AM51" s="11" t="s">
        <v>63</v>
      </c>
      <c r="AN51" s="20">
        <f>SUM(AN6:AN49)</f>
        <v>298515411272.16003</v>
      </c>
      <c r="AO51" s="10">
        <f t="shared" ref="AO51:AQ51" si="14">SUM(AO6:AO49)</f>
        <v>14351298084.140001</v>
      </c>
      <c r="AP51" s="10">
        <f t="shared" si="14"/>
        <v>284164113188.02002</v>
      </c>
      <c r="AQ51" s="10">
        <f t="shared" si="14"/>
        <v>490977.41000000003</v>
      </c>
      <c r="AR51" s="10">
        <f>IF(AQ51=0,0,ROUND(AP51/AQ51/12,0))</f>
        <v>48231</v>
      </c>
      <c r="AS51" s="11" t="s">
        <v>63</v>
      </c>
      <c r="AT51" s="40"/>
      <c r="AU51" s="25"/>
    </row>
    <row r="52" spans="1:47" ht="21" customHeight="1" thickBot="1">
      <c r="A52" s="346"/>
      <c r="B52" s="347"/>
      <c r="C52" s="36"/>
      <c r="E52" s="21"/>
      <c r="F52" s="22"/>
      <c r="G52" s="22"/>
      <c r="H52" s="22"/>
      <c r="I52" s="22"/>
      <c r="J52" s="23"/>
      <c r="K52" s="23"/>
      <c r="L52" s="21"/>
      <c r="M52" s="22"/>
      <c r="N52" s="22"/>
      <c r="O52" s="22"/>
      <c r="P52" s="22"/>
      <c r="Q52" s="23"/>
      <c r="R52" s="21"/>
      <c r="S52" s="22"/>
      <c r="T52" s="22"/>
      <c r="U52" s="22"/>
      <c r="V52" s="22"/>
      <c r="W52" s="23"/>
      <c r="X52" s="21"/>
      <c r="Y52" s="23"/>
      <c r="AA52" s="21"/>
      <c r="AB52" s="22"/>
      <c r="AC52" s="22"/>
      <c r="AD52" s="22"/>
      <c r="AE52" s="22"/>
      <c r="AF52" s="23"/>
      <c r="AG52" s="23"/>
      <c r="AH52" s="21"/>
      <c r="AI52" s="22"/>
      <c r="AJ52" s="22"/>
      <c r="AK52" s="22"/>
      <c r="AL52" s="22"/>
      <c r="AM52" s="23"/>
      <c r="AN52" s="21"/>
      <c r="AO52" s="22"/>
      <c r="AP52" s="22"/>
      <c r="AQ52" s="22"/>
      <c r="AR52" s="22"/>
      <c r="AS52" s="23"/>
      <c r="AT52" s="21"/>
      <c r="AU52" s="23"/>
    </row>
    <row r="54" spans="1:47">
      <c r="A54" s="9"/>
      <c r="B54" s="9"/>
      <c r="C54" s="16"/>
      <c r="D54" s="9"/>
      <c r="E54" s="9" t="b">
        <f>E51=SUMAR!E14</f>
        <v>1</v>
      </c>
      <c r="F54" s="9" t="b">
        <f>F51=SUMAR!F14</f>
        <v>1</v>
      </c>
      <c r="G54" s="9" t="b">
        <f>G51=SUMAR!G14</f>
        <v>1</v>
      </c>
      <c r="H54" s="9" t="b">
        <f>H51=SUMAR!H14</f>
        <v>1</v>
      </c>
      <c r="I54" s="9" t="b">
        <f>I51=SUMAR!I14</f>
        <v>1</v>
      </c>
      <c r="J54" s="9"/>
      <c r="K54" s="9"/>
      <c r="L54" s="9" t="b">
        <f>L51=SUMAR!L14</f>
        <v>1</v>
      </c>
      <c r="M54" s="9" t="b">
        <f>M51=SUMAR!M14</f>
        <v>1</v>
      </c>
      <c r="N54" s="9" t="b">
        <f>N51=SUMAR!N14</f>
        <v>1</v>
      </c>
      <c r="O54" s="9" t="b">
        <f>O51=SUMAR!O14</f>
        <v>1</v>
      </c>
      <c r="P54" s="9" t="b">
        <f>P51=SUMAR!P14</f>
        <v>1</v>
      </c>
      <c r="Q54" s="9"/>
      <c r="R54" s="9" t="b">
        <f>R51=SUMAR!R14</f>
        <v>1</v>
      </c>
      <c r="S54" s="9" t="b">
        <f>S51=SUMAR!S14</f>
        <v>1</v>
      </c>
      <c r="T54" s="9" t="b">
        <f>T51=SUMAR!T14</f>
        <v>1</v>
      </c>
      <c r="U54" s="9" t="b">
        <f>U51=SUMAR!U14</f>
        <v>1</v>
      </c>
      <c r="V54" s="9" t="b">
        <f>V51=SUMAR!V14</f>
        <v>1</v>
      </c>
      <c r="W54" s="9"/>
      <c r="X54" s="9"/>
      <c r="Y54" s="9"/>
      <c r="AA54" s="9" t="b">
        <f>AA51=SUMAR!AA14</f>
        <v>1</v>
      </c>
      <c r="AB54" s="9" t="b">
        <f>AB51=SUMAR!AB14</f>
        <v>1</v>
      </c>
      <c r="AC54" s="9" t="b">
        <f>AC51=SUMAR!AC14</f>
        <v>1</v>
      </c>
      <c r="AD54" s="9" t="b">
        <f>AD51=SUMAR!AD14</f>
        <v>1</v>
      </c>
      <c r="AE54" s="9" t="b">
        <f>AE51=SUMAR!AE14</f>
        <v>1</v>
      </c>
      <c r="AF54" s="9"/>
      <c r="AG54" s="9"/>
      <c r="AH54" s="9" t="b">
        <f>AH51=SUMAR!AH14</f>
        <v>1</v>
      </c>
      <c r="AI54" s="9" t="b">
        <f>AI51=SUMAR!AI14</f>
        <v>1</v>
      </c>
      <c r="AJ54" s="9" t="b">
        <f>AJ51=SUMAR!AJ14</f>
        <v>1</v>
      </c>
      <c r="AK54" s="9" t="b">
        <f>AK51=SUMAR!AK14</f>
        <v>1</v>
      </c>
      <c r="AL54" s="9" t="b">
        <f>AL51=SUMAR!AL14</f>
        <v>1</v>
      </c>
      <c r="AM54" s="9"/>
      <c r="AN54" s="9" t="b">
        <f>AN51=SUMAR!AN14</f>
        <v>1</v>
      </c>
      <c r="AO54" s="9" t="b">
        <f>AO51=SUMAR!AO14</f>
        <v>1</v>
      </c>
      <c r="AP54" s="9" t="b">
        <f>AP51=SUMAR!AP14</f>
        <v>1</v>
      </c>
      <c r="AQ54" s="9" t="b">
        <f>AQ51=SUMAR!AQ14</f>
        <v>1</v>
      </c>
      <c r="AR54" s="9" t="b">
        <f>AR51=SUMAR!AR14</f>
        <v>1</v>
      </c>
      <c r="AS54" s="9"/>
      <c r="AT54" s="9"/>
      <c r="AU54" s="9"/>
    </row>
    <row r="55" spans="1:47">
      <c r="E55" s="7"/>
      <c r="F55" s="7"/>
      <c r="G55" s="7"/>
      <c r="H55" s="7"/>
      <c r="I55" s="7"/>
      <c r="AA55" s="7"/>
      <c r="AB55" s="7"/>
      <c r="AC55" s="7"/>
      <c r="AD55" s="7"/>
      <c r="AE55" s="7"/>
    </row>
    <row r="56" spans="1:47">
      <c r="D56" s="9"/>
      <c r="E56" s="9"/>
      <c r="F56" s="9"/>
      <c r="G56" s="9"/>
      <c r="H56" s="9"/>
      <c r="I56" s="9"/>
      <c r="J56" s="9"/>
      <c r="K56" s="9"/>
      <c r="L56" s="60"/>
      <c r="M56" s="60"/>
      <c r="N56" s="60"/>
      <c r="O56" s="60"/>
      <c r="P56" s="60"/>
      <c r="Q56" s="9"/>
      <c r="R56" s="9"/>
      <c r="S56" s="9"/>
      <c r="T56" s="9"/>
      <c r="U56" s="9"/>
      <c r="V56" s="9"/>
      <c r="W56" s="9"/>
      <c r="X56" s="9"/>
      <c r="Y56" s="9"/>
      <c r="AA56" s="9"/>
      <c r="AB56" s="9"/>
      <c r="AC56" s="9"/>
      <c r="AD56" s="9"/>
      <c r="AE56" s="9"/>
      <c r="AF56" s="9"/>
      <c r="AG56" s="9"/>
      <c r="AH56" s="60"/>
      <c r="AI56" s="60"/>
      <c r="AJ56" s="60"/>
      <c r="AK56" s="60"/>
      <c r="AL56" s="60"/>
      <c r="AM56" s="9"/>
      <c r="AN56" s="9"/>
      <c r="AO56" s="9"/>
      <c r="AP56" s="9"/>
      <c r="AQ56" s="9"/>
      <c r="AR56" s="9"/>
      <c r="AS56" s="9"/>
      <c r="AT56" s="9"/>
      <c r="AU56" s="9"/>
    </row>
    <row r="57" spans="1:47">
      <c r="E57" s="7"/>
      <c r="F57" s="7"/>
      <c r="G57" s="7"/>
      <c r="H57" s="7"/>
      <c r="I57" s="7"/>
      <c r="AA57" s="7"/>
      <c r="AB57" s="7"/>
      <c r="AC57" s="7"/>
      <c r="AD57" s="7"/>
      <c r="AE57" s="7"/>
    </row>
    <row r="58" spans="1:47">
      <c r="D58" s="9"/>
      <c r="E58" s="9"/>
      <c r="F58" s="9"/>
      <c r="G58" s="9"/>
      <c r="H58" s="9"/>
      <c r="I58" s="9"/>
      <c r="J58" s="9"/>
      <c r="K58" s="9"/>
      <c r="L58" s="60"/>
      <c r="M58" s="60"/>
      <c r="N58" s="60"/>
      <c r="O58" s="60"/>
      <c r="P58" s="60"/>
      <c r="Q58" s="9"/>
      <c r="R58" s="9"/>
      <c r="S58" s="9"/>
      <c r="T58" s="9"/>
      <c r="U58" s="9"/>
      <c r="V58" s="9"/>
      <c r="W58" s="9"/>
      <c r="X58" s="9"/>
      <c r="Y58" s="9"/>
      <c r="AA58" s="9"/>
      <c r="AB58" s="9"/>
      <c r="AC58" s="9"/>
      <c r="AD58" s="9"/>
      <c r="AE58" s="9"/>
      <c r="AF58" s="9"/>
      <c r="AG58" s="9"/>
      <c r="AH58" s="60"/>
      <c r="AI58" s="60"/>
      <c r="AJ58" s="60"/>
      <c r="AK58" s="60"/>
      <c r="AL58" s="60"/>
      <c r="AM58" s="9"/>
      <c r="AN58" s="9"/>
      <c r="AO58" s="9"/>
      <c r="AP58" s="9"/>
      <c r="AQ58" s="9"/>
      <c r="AR58" s="9"/>
      <c r="AS58" s="9"/>
      <c r="AT58" s="9"/>
      <c r="AU58" s="9"/>
    </row>
    <row r="59" spans="1:47">
      <c r="E59" s="7"/>
      <c r="F59" s="7"/>
      <c r="G59" s="7"/>
      <c r="H59" s="7"/>
      <c r="I59" s="7"/>
      <c r="AA59" s="7"/>
      <c r="AB59" s="7"/>
      <c r="AC59" s="7"/>
      <c r="AD59" s="7"/>
      <c r="AE59" s="7"/>
    </row>
  </sheetData>
  <mergeCells count="61">
    <mergeCell ref="AT1:AU2"/>
    <mergeCell ref="AT3:AT5"/>
    <mergeCell ref="AU3:AU5"/>
    <mergeCell ref="AP4:AP5"/>
    <mergeCell ref="AN3:AN5"/>
    <mergeCell ref="AO3:AP3"/>
    <mergeCell ref="K1:K2"/>
    <mergeCell ref="K3:K5"/>
    <mergeCell ref="AG1:AG2"/>
    <mergeCell ref="AG3:AG5"/>
    <mergeCell ref="X1:Y2"/>
    <mergeCell ref="X3:X5"/>
    <mergeCell ref="Y3:Y5"/>
    <mergeCell ref="AB4:AB5"/>
    <mergeCell ref="AC4:AC5"/>
    <mergeCell ref="AI4:AI5"/>
    <mergeCell ref="AJ4:AJ5"/>
    <mergeCell ref="AO4:AO5"/>
    <mergeCell ref="AQ3:AQ5"/>
    <mergeCell ref="AA1:AF2"/>
    <mergeCell ref="AH1:AM2"/>
    <mergeCell ref="AN1:AS2"/>
    <mergeCell ref="AA3:AA5"/>
    <mergeCell ref="AB3:AC3"/>
    <mergeCell ref="AD3:AD5"/>
    <mergeCell ref="AE3:AE5"/>
    <mergeCell ref="AF3:AF5"/>
    <mergeCell ref="AR3:AR5"/>
    <mergeCell ref="AS3:AS5"/>
    <mergeCell ref="AH3:AH5"/>
    <mergeCell ref="AI3:AJ3"/>
    <mergeCell ref="AK3:AK5"/>
    <mergeCell ref="AL3:AL5"/>
    <mergeCell ref="AM3:AM5"/>
    <mergeCell ref="R3:R5"/>
    <mergeCell ref="S3:T3"/>
    <mergeCell ref="A50:B52"/>
    <mergeCell ref="A1:A5"/>
    <mergeCell ref="B1:B5"/>
    <mergeCell ref="P3:P5"/>
    <mergeCell ref="Q3:Q5"/>
    <mergeCell ref="L3:L5"/>
    <mergeCell ref="M3:N3"/>
    <mergeCell ref="M4:M5"/>
    <mergeCell ref="N4:N5"/>
    <mergeCell ref="E1:J2"/>
    <mergeCell ref="L1:Q2"/>
    <mergeCell ref="R1:W2"/>
    <mergeCell ref="U3:U5"/>
    <mergeCell ref="V3:V5"/>
    <mergeCell ref="W3:W5"/>
    <mergeCell ref="S4:S5"/>
    <mergeCell ref="T4:T5"/>
    <mergeCell ref="E3:E5"/>
    <mergeCell ref="F3:G3"/>
    <mergeCell ref="H3:H5"/>
    <mergeCell ref="I3:I5"/>
    <mergeCell ref="J3:J5"/>
    <mergeCell ref="F4:F5"/>
    <mergeCell ref="G4:G5"/>
    <mergeCell ref="O3:O5"/>
  </mergeCells>
  <printOptions horizontalCentered="1" verticalCentered="1"/>
  <pageMargins left="0.59055118110236227" right="0.51181102362204722" top="0.39370078740157483" bottom="0.19685039370078741" header="0.39370078740157483" footer="0.19685039370078741"/>
  <pageSetup paperSize="9" scale="55" pageOrder="overThenDown" orientation="landscape" r:id="rId1"/>
  <headerFooter alignWithMargins="0">
    <oddHeader>&amp;C&amp;"Arial CE,tučné"Přehled o vývoji počtu zaměstnanců a objemech mezd od roku  1 9 9 3
za   R O P O  c e l k e m
&amp;R&amp;A   -   &amp;F</oddHeader>
    <oddFooter>&amp;C6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HO70"/>
  <sheetViews>
    <sheetView zoomScale="90" zoomScaleNormal="90" workbookViewId="0">
      <pane xSplit="3" ySplit="5" topLeftCell="GN32" activePane="bottomRight" state="frozen"/>
      <selection activeCell="HC12" sqref="HC12"/>
      <selection pane="topRight" activeCell="HC12" sqref="HC12"/>
      <selection pane="bottomLeft" activeCell="HC12" sqref="HC12"/>
      <selection pane="bottomRight" activeCell="HG42" sqref="HG42"/>
    </sheetView>
  </sheetViews>
  <sheetFormatPr baseColWidth="10" defaultColWidth="11.5" defaultRowHeight="13"/>
  <cols>
    <col min="1" max="1" width="9.33203125" style="6" customWidth="1"/>
    <col min="2" max="2" width="11.6640625" style="6" customWidth="1"/>
    <col min="3" max="3" width="37" style="13" hidden="1" customWidth="1"/>
    <col min="4" max="4" width="3.6640625" style="13" hidden="1" customWidth="1"/>
    <col min="5" max="5" width="15.33203125" style="6" hidden="1" customWidth="1"/>
    <col min="6" max="6" width="14.83203125" style="6" hidden="1" customWidth="1"/>
    <col min="7" max="7" width="16.83203125" style="6" hidden="1" customWidth="1"/>
    <col min="8" max="8" width="12.6640625" style="6" hidden="1" customWidth="1"/>
    <col min="9" max="9" width="13.6640625" style="6" hidden="1" customWidth="1"/>
    <col min="10" max="10" width="9.6640625" style="6" hidden="1" customWidth="1"/>
    <col min="11" max="11" width="8.6640625" style="6" hidden="1" customWidth="1"/>
    <col min="12" max="12" width="16.6640625" style="6" hidden="1" customWidth="1"/>
    <col min="13" max="13" width="14.33203125" style="6" hidden="1" customWidth="1"/>
    <col min="14" max="14" width="16.83203125" style="6" hidden="1" customWidth="1"/>
    <col min="15" max="15" width="13.83203125" style="6" hidden="1" customWidth="1"/>
    <col min="16" max="16" width="9.33203125" style="6" hidden="1" customWidth="1"/>
    <col min="17" max="17" width="9.33203125" style="8" hidden="1" customWidth="1"/>
    <col min="18" max="18" width="15.83203125" style="6" hidden="1" customWidth="1"/>
    <col min="19" max="19" width="14.33203125" style="6" hidden="1" customWidth="1"/>
    <col min="20" max="20" width="16.33203125" style="6" hidden="1" customWidth="1"/>
    <col min="21" max="21" width="13" style="6" hidden="1" customWidth="1"/>
    <col min="22" max="22" width="9.33203125" style="6" hidden="1" customWidth="1"/>
    <col min="23" max="23" width="9.33203125" style="8" hidden="1" customWidth="1"/>
    <col min="24" max="24" width="9.33203125" style="6" hidden="1" customWidth="1"/>
    <col min="25" max="25" width="12.33203125" style="6" hidden="1" customWidth="1"/>
    <col min="26" max="26" width="2.33203125" style="6" hidden="1" customWidth="1"/>
    <col min="27" max="29" width="19.83203125" style="6" hidden="1" customWidth="1"/>
    <col min="30" max="30" width="12.83203125" style="6" hidden="1" customWidth="1"/>
    <col min="31" max="31" width="9.6640625" style="6" hidden="1" customWidth="1"/>
    <col min="32" max="32" width="9.33203125" style="6" hidden="1" customWidth="1"/>
    <col min="33" max="33" width="9.6640625" style="6" hidden="1" customWidth="1"/>
    <col min="34" max="34" width="17.83203125" style="6" hidden="1" customWidth="1"/>
    <col min="35" max="35" width="14" style="6" hidden="1" customWidth="1"/>
    <col min="36" max="36" width="15.6640625" style="6" hidden="1" customWidth="1"/>
    <col min="37" max="37" width="13.1640625" style="6" hidden="1" customWidth="1"/>
    <col min="38" max="38" width="9.33203125" style="6" hidden="1" customWidth="1"/>
    <col min="39" max="39" width="11.83203125" style="8" hidden="1" customWidth="1"/>
    <col min="40" max="40" width="17" style="6" hidden="1" customWidth="1"/>
    <col min="41" max="42" width="15.1640625" style="6" hidden="1" customWidth="1"/>
    <col min="43" max="43" width="12.6640625" style="6" hidden="1" customWidth="1"/>
    <col min="44" max="44" width="9.33203125" style="6" hidden="1" customWidth="1"/>
    <col min="45" max="45" width="9.33203125" style="8" hidden="1" customWidth="1"/>
    <col min="46" max="47" width="9.33203125" style="6" hidden="1" customWidth="1"/>
    <col min="48" max="48" width="2.33203125" style="6" hidden="1" customWidth="1"/>
    <col min="49" max="49" width="17.1640625" style="6" hidden="1" customWidth="1"/>
    <col min="50" max="50" width="14.33203125" style="6" hidden="1" customWidth="1"/>
    <col min="51" max="51" width="16.33203125" style="6" hidden="1" customWidth="1"/>
    <col min="52" max="52" width="13" style="6" hidden="1" customWidth="1"/>
    <col min="53" max="55" width="9.33203125" style="6" hidden="1" customWidth="1"/>
    <col min="56" max="56" width="17.5" style="6" hidden="1" customWidth="1"/>
    <col min="57" max="57" width="14.33203125" style="6" hidden="1" customWidth="1"/>
    <col min="58" max="58" width="16.5" style="6" hidden="1" customWidth="1"/>
    <col min="59" max="59" width="12.6640625" style="6" hidden="1" customWidth="1"/>
    <col min="60" max="60" width="11.5" style="6" hidden="1" customWidth="1"/>
    <col min="61" max="61" width="11.5" style="8" hidden="1" customWidth="1"/>
    <col min="62" max="62" width="18.5" style="6" hidden="1" customWidth="1"/>
    <col min="63" max="63" width="15.33203125" style="6" hidden="1" customWidth="1"/>
    <col min="64" max="64" width="16.5" style="6" hidden="1" customWidth="1"/>
    <col min="65" max="65" width="13.33203125" style="6" hidden="1" customWidth="1"/>
    <col min="66" max="66" width="11.5" style="6" hidden="1" customWidth="1"/>
    <col min="67" max="67" width="11.5" style="8" hidden="1" customWidth="1"/>
    <col min="68" max="69" width="11.5" style="6" hidden="1" customWidth="1"/>
    <col min="70" max="70" width="1.1640625" style="6" hidden="1" customWidth="1"/>
    <col min="71" max="71" width="17" style="6" hidden="1" customWidth="1"/>
    <col min="72" max="72" width="14" style="6" hidden="1" customWidth="1"/>
    <col min="73" max="73" width="16.33203125" style="6" hidden="1" customWidth="1"/>
    <col min="74" max="74" width="12.6640625" style="6" hidden="1" customWidth="1"/>
    <col min="75" max="77" width="11.5" style="6" hidden="1" customWidth="1"/>
    <col min="78" max="79" width="15.33203125" style="6" hidden="1" customWidth="1"/>
    <col min="80" max="80" width="14" style="6" hidden="1" customWidth="1"/>
    <col min="81" max="81" width="14.6640625" style="6" hidden="1" customWidth="1"/>
    <col min="82" max="82" width="11.5" style="6" hidden="1" customWidth="1"/>
    <col min="83" max="83" width="11.5" style="8" hidden="1" customWidth="1"/>
    <col min="84" max="84" width="15.33203125" style="6" hidden="1" customWidth="1"/>
    <col min="85" max="85" width="14" style="6" hidden="1" customWidth="1"/>
    <col min="86" max="86" width="15.33203125" style="6" hidden="1" customWidth="1"/>
    <col min="87" max="87" width="14" style="6" hidden="1" customWidth="1"/>
    <col min="88" max="88" width="11.5" style="6" hidden="1" customWidth="1"/>
    <col min="89" max="89" width="11.5" style="8" hidden="1" customWidth="1"/>
    <col min="90" max="91" width="11.5" style="6" hidden="1" customWidth="1"/>
    <col min="92" max="92" width="2.6640625" style="6" hidden="1" customWidth="1"/>
    <col min="93" max="93" width="16.33203125" style="6" hidden="1" customWidth="1"/>
    <col min="94" max="94" width="16" style="6" hidden="1" customWidth="1"/>
    <col min="95" max="95" width="15.33203125" style="6" hidden="1" customWidth="1"/>
    <col min="96" max="99" width="11.5" style="6" hidden="1" customWidth="1"/>
    <col min="100" max="100" width="16.33203125" style="6" hidden="1" customWidth="1"/>
    <col min="101" max="101" width="14.1640625" style="6" hidden="1" customWidth="1"/>
    <col min="102" max="102" width="18.5" style="6" hidden="1" customWidth="1"/>
    <col min="103" max="103" width="13.1640625" style="6" hidden="1" customWidth="1"/>
    <col min="104" max="104" width="11.5" style="6" hidden="1" customWidth="1"/>
    <col min="105" max="105" width="10.33203125" style="6" hidden="1" customWidth="1"/>
    <col min="106" max="106" width="15.33203125" style="6" hidden="1" customWidth="1"/>
    <col min="107" max="107" width="15.5" style="6" hidden="1" customWidth="1"/>
    <col min="108" max="108" width="16.6640625" style="6" hidden="1" customWidth="1"/>
    <col min="109" max="109" width="13" style="6" hidden="1" customWidth="1"/>
    <col min="110" max="113" width="11.5" style="6" hidden="1" customWidth="1"/>
    <col min="114" max="114" width="1.1640625" style="6" hidden="1" customWidth="1"/>
    <col min="115" max="115" width="17" style="6" hidden="1" customWidth="1"/>
    <col min="116" max="116" width="14" style="6" hidden="1" customWidth="1"/>
    <col min="117" max="117" width="15.6640625" style="6" hidden="1" customWidth="1"/>
    <col min="118" max="118" width="13.1640625" style="6" hidden="1" customWidth="1"/>
    <col min="119" max="121" width="11.5" style="6" hidden="1" customWidth="1"/>
    <col min="122" max="122" width="17.83203125" style="6" hidden="1" customWidth="1"/>
    <col min="123" max="123" width="15" style="6" hidden="1" customWidth="1"/>
    <col min="124" max="124" width="18.5" style="6" hidden="1" customWidth="1"/>
    <col min="125" max="125" width="13.1640625" style="6" hidden="1" customWidth="1"/>
    <col min="126" max="127" width="11.5" style="6" hidden="1" customWidth="1"/>
    <col min="128" max="128" width="15.33203125" style="6" hidden="1" customWidth="1"/>
    <col min="129" max="129" width="14" style="6" hidden="1" customWidth="1"/>
    <col min="130" max="130" width="16.83203125" style="6" hidden="1" customWidth="1"/>
    <col min="131" max="131" width="12.83203125" style="6" hidden="1" customWidth="1"/>
    <col min="132" max="135" width="11.5" style="6" hidden="1" customWidth="1"/>
    <col min="136" max="136" width="3.1640625" style="6" hidden="1" customWidth="1"/>
    <col min="137" max="137" width="16.6640625" style="6" hidden="1" customWidth="1"/>
    <col min="138" max="138" width="14.33203125" style="6" hidden="1" customWidth="1"/>
    <col min="139" max="139" width="16" style="6" hidden="1" customWidth="1"/>
    <col min="140" max="140" width="13.33203125" style="6" hidden="1" customWidth="1"/>
    <col min="141" max="143" width="11.5" style="6" hidden="1" customWidth="1"/>
    <col min="144" max="144" width="17.83203125" style="6" hidden="1" customWidth="1"/>
    <col min="145" max="145" width="15.1640625" style="6" hidden="1" customWidth="1"/>
    <col min="146" max="146" width="17.83203125" style="6" hidden="1" customWidth="1"/>
    <col min="147" max="147" width="13.6640625" style="6" hidden="1" customWidth="1"/>
    <col min="148" max="149" width="11.5" style="6" hidden="1" customWidth="1"/>
    <col min="150" max="150" width="18" style="6" hidden="1" customWidth="1"/>
    <col min="151" max="151" width="17.33203125" style="6" hidden="1" customWidth="1"/>
    <col min="152" max="152" width="15.5" style="6" hidden="1" customWidth="1"/>
    <col min="153" max="153" width="13" style="6" hidden="1" customWidth="1"/>
    <col min="154" max="157" width="11.5" style="6" hidden="1" customWidth="1"/>
    <col min="158" max="158" width="3" style="6" hidden="1" customWidth="1"/>
    <col min="159" max="159" width="18.5" style="6" hidden="1" customWidth="1"/>
    <col min="160" max="160" width="14.33203125" style="6" hidden="1" customWidth="1"/>
    <col min="161" max="161" width="16.6640625" style="6" hidden="1" customWidth="1"/>
    <col min="162" max="162" width="13.33203125" style="6" hidden="1" customWidth="1"/>
    <col min="163" max="165" width="11.5" style="6" hidden="1" customWidth="1"/>
    <col min="166" max="168" width="17" style="6" hidden="1" customWidth="1"/>
    <col min="169" max="169" width="13.83203125" style="6" hidden="1" customWidth="1"/>
    <col min="170" max="170" width="10.83203125" style="6" hidden="1" customWidth="1"/>
    <col min="171" max="171" width="11.5" style="6" hidden="1" customWidth="1"/>
    <col min="172" max="174" width="16.5" style="6" hidden="1" customWidth="1"/>
    <col min="175" max="175" width="12.6640625" style="6" hidden="1" customWidth="1"/>
    <col min="176" max="179" width="11.5" style="6" hidden="1" customWidth="1"/>
    <col min="180" max="180" width="2.6640625" style="6" customWidth="1"/>
    <col min="181" max="183" width="16.83203125" style="6" customWidth="1"/>
    <col min="184" max="184" width="12.83203125" style="6" customWidth="1"/>
    <col min="185" max="185" width="11.5" style="6" customWidth="1"/>
    <col min="186" max="186" width="10.5" style="6" customWidth="1"/>
    <col min="187" max="187" width="11.5" style="6"/>
    <col min="188" max="188" width="33.83203125" style="6" bestFit="1" customWidth="1"/>
    <col min="189" max="189" width="14.5" style="6" customWidth="1"/>
    <col min="190" max="190" width="17.5" style="6" customWidth="1"/>
    <col min="191" max="191" width="12.83203125" style="6" customWidth="1"/>
    <col min="192" max="192" width="15.83203125" style="6" bestFit="1" customWidth="1"/>
    <col min="193" max="193" width="11.33203125" style="6" customWidth="1"/>
    <col min="194" max="194" width="33.83203125" style="6" bestFit="1" customWidth="1"/>
    <col min="195" max="195" width="14.5" style="6" customWidth="1"/>
    <col min="196" max="196" width="22.5" style="6" bestFit="1" customWidth="1"/>
    <col min="197" max="197" width="12.6640625" style="6" customWidth="1"/>
    <col min="198" max="199" width="9.1640625" style="6" customWidth="1"/>
    <col min="200" max="201" width="11.5" style="6"/>
    <col min="202" max="202" width="9.1640625" customWidth="1"/>
    <col min="203" max="203" width="19.1640625" style="6" customWidth="1"/>
    <col min="204" max="204" width="16.5" style="6" customWidth="1"/>
    <col min="205" max="205" width="17.5" style="6" customWidth="1"/>
    <col min="206" max="206" width="12.1640625" style="6" customWidth="1"/>
    <col min="207" max="207" width="11.83203125" style="6" customWidth="1"/>
    <col min="208" max="208" width="10.6640625" style="6" customWidth="1"/>
    <col min="209" max="209" width="11.5" style="6"/>
    <col min="210" max="210" width="18.1640625" style="6" customWidth="1"/>
    <col min="211" max="211" width="15.5" style="6" bestFit="1" customWidth="1"/>
    <col min="212" max="212" width="22.5" style="6" bestFit="1" customWidth="1"/>
    <col min="213" max="213" width="9" style="6" customWidth="1"/>
    <col min="214" max="214" width="11.5" style="6" customWidth="1"/>
    <col min="215" max="215" width="9.5" style="6" customWidth="1"/>
    <col min="216" max="216" width="22.1640625" style="6" customWidth="1"/>
    <col min="217" max="217" width="15.5" style="6" bestFit="1" customWidth="1"/>
    <col min="218" max="218" width="22.5" style="6" bestFit="1" customWidth="1"/>
    <col min="219" max="219" width="10.6640625" style="6" customWidth="1"/>
    <col min="220" max="220" width="11.6640625" style="6" customWidth="1"/>
    <col min="221" max="221" width="12" style="6" customWidth="1"/>
    <col min="222" max="223" width="11.5" style="6"/>
  </cols>
  <sheetData>
    <row r="1" spans="1:223" ht="14" customHeight="1" thickTop="1">
      <c r="A1" s="323" t="s">
        <v>131</v>
      </c>
      <c r="B1" s="348" t="s">
        <v>132</v>
      </c>
      <c r="C1" s="28"/>
      <c r="D1" s="54"/>
      <c r="E1" s="364" t="s">
        <v>101</v>
      </c>
      <c r="F1" s="365"/>
      <c r="G1" s="365"/>
      <c r="H1" s="365"/>
      <c r="I1" s="365"/>
      <c r="J1" s="366"/>
      <c r="K1" s="370" t="s">
        <v>136</v>
      </c>
      <c r="L1" s="364" t="s">
        <v>102</v>
      </c>
      <c r="M1" s="365"/>
      <c r="N1" s="365"/>
      <c r="O1" s="365"/>
      <c r="P1" s="365"/>
      <c r="Q1" s="366"/>
      <c r="R1" s="364" t="s">
        <v>103</v>
      </c>
      <c r="S1" s="365"/>
      <c r="T1" s="365"/>
      <c r="U1" s="365"/>
      <c r="V1" s="365"/>
      <c r="W1" s="366"/>
      <c r="X1" s="310" t="s">
        <v>162</v>
      </c>
      <c r="Y1" s="312"/>
      <c r="Z1" s="72"/>
      <c r="AA1" s="364" t="s">
        <v>110</v>
      </c>
      <c r="AB1" s="365"/>
      <c r="AC1" s="365"/>
      <c r="AD1" s="365"/>
      <c r="AE1" s="365"/>
      <c r="AF1" s="366"/>
      <c r="AG1" s="370" t="s">
        <v>136</v>
      </c>
      <c r="AH1" s="364" t="s">
        <v>111</v>
      </c>
      <c r="AI1" s="365"/>
      <c r="AJ1" s="365"/>
      <c r="AK1" s="365"/>
      <c r="AL1" s="365"/>
      <c r="AM1" s="366"/>
      <c r="AN1" s="364" t="s">
        <v>112</v>
      </c>
      <c r="AO1" s="365"/>
      <c r="AP1" s="365"/>
      <c r="AQ1" s="365"/>
      <c r="AR1" s="365"/>
      <c r="AS1" s="366"/>
      <c r="AT1" s="372" t="s">
        <v>162</v>
      </c>
      <c r="AU1" s="373"/>
      <c r="AV1" s="72"/>
      <c r="AW1" s="364" t="s">
        <v>113</v>
      </c>
      <c r="AX1" s="365"/>
      <c r="AY1" s="365"/>
      <c r="AZ1" s="365"/>
      <c r="BA1" s="365"/>
      <c r="BB1" s="366"/>
      <c r="BC1" s="370" t="s">
        <v>162</v>
      </c>
      <c r="BD1" s="364" t="s">
        <v>114</v>
      </c>
      <c r="BE1" s="365"/>
      <c r="BF1" s="365"/>
      <c r="BG1" s="365"/>
      <c r="BH1" s="365"/>
      <c r="BI1" s="366"/>
      <c r="BJ1" s="364" t="s">
        <v>115</v>
      </c>
      <c r="BK1" s="365"/>
      <c r="BL1" s="365"/>
      <c r="BM1" s="365"/>
      <c r="BN1" s="365"/>
      <c r="BO1" s="366"/>
      <c r="BP1" s="372" t="s">
        <v>162</v>
      </c>
      <c r="BQ1" s="373"/>
      <c r="BR1" s="63"/>
      <c r="BS1" s="364" t="s">
        <v>116</v>
      </c>
      <c r="BT1" s="365"/>
      <c r="BU1" s="365"/>
      <c r="BV1" s="365"/>
      <c r="BW1" s="365"/>
      <c r="BX1" s="366"/>
      <c r="BY1" s="370" t="s">
        <v>162</v>
      </c>
      <c r="BZ1" s="364" t="s">
        <v>117</v>
      </c>
      <c r="CA1" s="365"/>
      <c r="CB1" s="365"/>
      <c r="CC1" s="365"/>
      <c r="CD1" s="365"/>
      <c r="CE1" s="366"/>
      <c r="CF1" s="364" t="s">
        <v>118</v>
      </c>
      <c r="CG1" s="365"/>
      <c r="CH1" s="365"/>
      <c r="CI1" s="365"/>
      <c r="CJ1" s="365"/>
      <c r="CK1" s="366"/>
      <c r="CL1" s="372" t="s">
        <v>162</v>
      </c>
      <c r="CM1" s="373"/>
      <c r="CN1" s="72"/>
      <c r="CO1" s="364" t="s">
        <v>119</v>
      </c>
      <c r="CP1" s="365"/>
      <c r="CQ1" s="365"/>
      <c r="CR1" s="365"/>
      <c r="CS1" s="365"/>
      <c r="CT1" s="366"/>
      <c r="CU1" s="370" t="s">
        <v>162</v>
      </c>
      <c r="CV1" s="310" t="s">
        <v>120</v>
      </c>
      <c r="CW1" s="311"/>
      <c r="CX1" s="311"/>
      <c r="CY1" s="311"/>
      <c r="CZ1" s="311"/>
      <c r="DA1" s="312"/>
      <c r="DB1" s="310" t="s">
        <v>121</v>
      </c>
      <c r="DC1" s="311"/>
      <c r="DD1" s="311"/>
      <c r="DE1" s="311"/>
      <c r="DF1" s="311"/>
      <c r="DG1" s="312"/>
      <c r="DH1" s="372" t="s">
        <v>162</v>
      </c>
      <c r="DI1" s="373"/>
      <c r="DJ1" s="72"/>
      <c r="DK1" s="310" t="s">
        <v>122</v>
      </c>
      <c r="DL1" s="311"/>
      <c r="DM1" s="311"/>
      <c r="DN1" s="311"/>
      <c r="DO1" s="311"/>
      <c r="DP1" s="312"/>
      <c r="DQ1" s="370" t="s">
        <v>162</v>
      </c>
      <c r="DR1" s="310" t="s">
        <v>123</v>
      </c>
      <c r="DS1" s="311"/>
      <c r="DT1" s="311"/>
      <c r="DU1" s="311"/>
      <c r="DV1" s="311"/>
      <c r="DW1" s="312"/>
      <c r="DX1" s="310" t="s">
        <v>124</v>
      </c>
      <c r="DY1" s="311"/>
      <c r="DZ1" s="311"/>
      <c r="EA1" s="311"/>
      <c r="EB1" s="311"/>
      <c r="EC1" s="312"/>
      <c r="ED1" s="372" t="s">
        <v>162</v>
      </c>
      <c r="EE1" s="373"/>
      <c r="EF1" s="72"/>
      <c r="EG1" s="310" t="s">
        <v>125</v>
      </c>
      <c r="EH1" s="311"/>
      <c r="EI1" s="311"/>
      <c r="EJ1" s="311"/>
      <c r="EK1" s="311"/>
      <c r="EL1" s="312"/>
      <c r="EM1" s="370" t="s">
        <v>162</v>
      </c>
      <c r="EN1" s="310" t="s">
        <v>126</v>
      </c>
      <c r="EO1" s="311"/>
      <c r="EP1" s="311"/>
      <c r="EQ1" s="311"/>
      <c r="ER1" s="311"/>
      <c r="ES1" s="312"/>
      <c r="ET1" s="310" t="s">
        <v>127</v>
      </c>
      <c r="EU1" s="311"/>
      <c r="EV1" s="311"/>
      <c r="EW1" s="311"/>
      <c r="EX1" s="311"/>
      <c r="EY1" s="312"/>
      <c r="EZ1" s="372" t="s">
        <v>162</v>
      </c>
      <c r="FA1" s="373"/>
      <c r="FB1" s="72"/>
      <c r="FC1" s="310" t="s">
        <v>128</v>
      </c>
      <c r="FD1" s="311"/>
      <c r="FE1" s="311"/>
      <c r="FF1" s="311"/>
      <c r="FG1" s="311"/>
      <c r="FH1" s="312"/>
      <c r="FI1" s="370" t="s">
        <v>162</v>
      </c>
      <c r="FJ1" s="310" t="s">
        <v>129</v>
      </c>
      <c r="FK1" s="311"/>
      <c r="FL1" s="311"/>
      <c r="FM1" s="311"/>
      <c r="FN1" s="311"/>
      <c r="FO1" s="312"/>
      <c r="FP1" s="310" t="s">
        <v>130</v>
      </c>
      <c r="FQ1" s="311"/>
      <c r="FR1" s="311"/>
      <c r="FS1" s="311"/>
      <c r="FT1" s="311"/>
      <c r="FU1" s="312"/>
      <c r="FV1" s="372" t="s">
        <v>162</v>
      </c>
      <c r="FW1" s="373"/>
      <c r="FX1" s="72"/>
      <c r="FY1" s="310" t="s">
        <v>220</v>
      </c>
      <c r="FZ1" s="311"/>
      <c r="GA1" s="311"/>
      <c r="GB1" s="311"/>
      <c r="GC1" s="311"/>
      <c r="GD1" s="312"/>
      <c r="GE1" s="370" t="s">
        <v>162</v>
      </c>
      <c r="GF1" s="310" t="s">
        <v>221</v>
      </c>
      <c r="GG1" s="311"/>
      <c r="GH1" s="311"/>
      <c r="GI1" s="311"/>
      <c r="GJ1" s="311"/>
      <c r="GK1" s="312"/>
      <c r="GL1" s="310" t="s">
        <v>222</v>
      </c>
      <c r="GM1" s="311"/>
      <c r="GN1" s="311"/>
      <c r="GO1" s="311"/>
      <c r="GP1" s="311"/>
      <c r="GQ1" s="312"/>
      <c r="GR1" s="372" t="s">
        <v>162</v>
      </c>
      <c r="GS1" s="373"/>
      <c r="GU1" s="310" t="s">
        <v>224</v>
      </c>
      <c r="GV1" s="311"/>
      <c r="GW1" s="311"/>
      <c r="GX1" s="311"/>
      <c r="GY1" s="311"/>
      <c r="GZ1" s="312"/>
      <c r="HA1" s="370" t="s">
        <v>162</v>
      </c>
      <c r="HB1" s="310" t="s">
        <v>225</v>
      </c>
      <c r="HC1" s="311"/>
      <c r="HD1" s="311"/>
      <c r="HE1" s="311"/>
      <c r="HF1" s="311"/>
      <c r="HG1" s="312"/>
      <c r="HH1" s="310" t="s">
        <v>226</v>
      </c>
      <c r="HI1" s="311"/>
      <c r="HJ1" s="311"/>
      <c r="HK1" s="311"/>
      <c r="HL1" s="311"/>
      <c r="HM1" s="312"/>
      <c r="HN1" s="372" t="s">
        <v>162</v>
      </c>
      <c r="HO1" s="373"/>
    </row>
    <row r="2" spans="1:223" ht="26.25" customHeight="1" thickBot="1">
      <c r="A2" s="324"/>
      <c r="B2" s="349"/>
      <c r="C2" s="29"/>
      <c r="D2" s="55"/>
      <c r="E2" s="367"/>
      <c r="F2" s="368"/>
      <c r="G2" s="368"/>
      <c r="H2" s="368"/>
      <c r="I2" s="368"/>
      <c r="J2" s="369"/>
      <c r="K2" s="371"/>
      <c r="L2" s="367"/>
      <c r="M2" s="368"/>
      <c r="N2" s="368"/>
      <c r="O2" s="368"/>
      <c r="P2" s="368"/>
      <c r="Q2" s="369"/>
      <c r="R2" s="367"/>
      <c r="S2" s="368"/>
      <c r="T2" s="368"/>
      <c r="U2" s="368"/>
      <c r="V2" s="368"/>
      <c r="W2" s="369"/>
      <c r="X2" s="313"/>
      <c r="Y2" s="315"/>
      <c r="Z2" s="73"/>
      <c r="AA2" s="367"/>
      <c r="AB2" s="368"/>
      <c r="AC2" s="368"/>
      <c r="AD2" s="368"/>
      <c r="AE2" s="368"/>
      <c r="AF2" s="369"/>
      <c r="AG2" s="371"/>
      <c r="AH2" s="367"/>
      <c r="AI2" s="368"/>
      <c r="AJ2" s="368"/>
      <c r="AK2" s="368"/>
      <c r="AL2" s="368"/>
      <c r="AM2" s="369"/>
      <c r="AN2" s="367"/>
      <c r="AO2" s="368"/>
      <c r="AP2" s="368"/>
      <c r="AQ2" s="368"/>
      <c r="AR2" s="368"/>
      <c r="AS2" s="369"/>
      <c r="AT2" s="374"/>
      <c r="AU2" s="375"/>
      <c r="AV2" s="73"/>
      <c r="AW2" s="367"/>
      <c r="AX2" s="368"/>
      <c r="AY2" s="368"/>
      <c r="AZ2" s="368"/>
      <c r="BA2" s="368"/>
      <c r="BB2" s="369"/>
      <c r="BC2" s="371"/>
      <c r="BD2" s="367"/>
      <c r="BE2" s="368"/>
      <c r="BF2" s="368"/>
      <c r="BG2" s="368"/>
      <c r="BH2" s="368"/>
      <c r="BI2" s="369"/>
      <c r="BJ2" s="367"/>
      <c r="BK2" s="368"/>
      <c r="BL2" s="368"/>
      <c r="BM2" s="368"/>
      <c r="BN2" s="368"/>
      <c r="BO2" s="369"/>
      <c r="BP2" s="374"/>
      <c r="BQ2" s="375"/>
      <c r="BR2" s="64"/>
      <c r="BS2" s="367"/>
      <c r="BT2" s="368"/>
      <c r="BU2" s="368"/>
      <c r="BV2" s="368"/>
      <c r="BW2" s="368"/>
      <c r="BX2" s="369"/>
      <c r="BY2" s="371"/>
      <c r="BZ2" s="367"/>
      <c r="CA2" s="368"/>
      <c r="CB2" s="368"/>
      <c r="CC2" s="368"/>
      <c r="CD2" s="368"/>
      <c r="CE2" s="369"/>
      <c r="CF2" s="367"/>
      <c r="CG2" s="368"/>
      <c r="CH2" s="368"/>
      <c r="CI2" s="368"/>
      <c r="CJ2" s="368"/>
      <c r="CK2" s="369"/>
      <c r="CL2" s="374"/>
      <c r="CM2" s="375"/>
      <c r="CN2" s="73"/>
      <c r="CO2" s="367"/>
      <c r="CP2" s="368"/>
      <c r="CQ2" s="368"/>
      <c r="CR2" s="368"/>
      <c r="CS2" s="368"/>
      <c r="CT2" s="369"/>
      <c r="CU2" s="371"/>
      <c r="CV2" s="313"/>
      <c r="CW2" s="314"/>
      <c r="CX2" s="314"/>
      <c r="CY2" s="314"/>
      <c r="CZ2" s="314"/>
      <c r="DA2" s="315"/>
      <c r="DB2" s="313"/>
      <c r="DC2" s="314"/>
      <c r="DD2" s="314"/>
      <c r="DE2" s="314"/>
      <c r="DF2" s="314"/>
      <c r="DG2" s="315"/>
      <c r="DH2" s="374"/>
      <c r="DI2" s="375"/>
      <c r="DJ2" s="73"/>
      <c r="DK2" s="313"/>
      <c r="DL2" s="314"/>
      <c r="DM2" s="314"/>
      <c r="DN2" s="314"/>
      <c r="DO2" s="314"/>
      <c r="DP2" s="315"/>
      <c r="DQ2" s="371"/>
      <c r="DR2" s="313"/>
      <c r="DS2" s="314"/>
      <c r="DT2" s="314"/>
      <c r="DU2" s="314"/>
      <c r="DV2" s="314"/>
      <c r="DW2" s="315"/>
      <c r="DX2" s="313"/>
      <c r="DY2" s="314"/>
      <c r="DZ2" s="314"/>
      <c r="EA2" s="314"/>
      <c r="EB2" s="314"/>
      <c r="EC2" s="315"/>
      <c r="ED2" s="374"/>
      <c r="EE2" s="375"/>
      <c r="EF2" s="73"/>
      <c r="EG2" s="313"/>
      <c r="EH2" s="314"/>
      <c r="EI2" s="314"/>
      <c r="EJ2" s="314"/>
      <c r="EK2" s="314"/>
      <c r="EL2" s="315"/>
      <c r="EM2" s="371"/>
      <c r="EN2" s="313"/>
      <c r="EO2" s="314"/>
      <c r="EP2" s="314"/>
      <c r="EQ2" s="314"/>
      <c r="ER2" s="314"/>
      <c r="ES2" s="315"/>
      <c r="ET2" s="313"/>
      <c r="EU2" s="314"/>
      <c r="EV2" s="314"/>
      <c r="EW2" s="314"/>
      <c r="EX2" s="314"/>
      <c r="EY2" s="315"/>
      <c r="EZ2" s="374"/>
      <c r="FA2" s="375"/>
      <c r="FB2" s="73"/>
      <c r="FC2" s="313"/>
      <c r="FD2" s="314"/>
      <c r="FE2" s="314"/>
      <c r="FF2" s="314"/>
      <c r="FG2" s="314"/>
      <c r="FH2" s="315"/>
      <c r="FI2" s="371"/>
      <c r="FJ2" s="313"/>
      <c r="FK2" s="314"/>
      <c r="FL2" s="314"/>
      <c r="FM2" s="314"/>
      <c r="FN2" s="314"/>
      <c r="FO2" s="315"/>
      <c r="FP2" s="313"/>
      <c r="FQ2" s="314"/>
      <c r="FR2" s="314"/>
      <c r="FS2" s="314"/>
      <c r="FT2" s="314"/>
      <c r="FU2" s="315"/>
      <c r="FV2" s="374"/>
      <c r="FW2" s="375"/>
      <c r="FX2" s="73"/>
      <c r="FY2" s="313"/>
      <c r="FZ2" s="314"/>
      <c r="GA2" s="314"/>
      <c r="GB2" s="314"/>
      <c r="GC2" s="314"/>
      <c r="GD2" s="315"/>
      <c r="GE2" s="371"/>
      <c r="GF2" s="313"/>
      <c r="GG2" s="314"/>
      <c r="GH2" s="314"/>
      <c r="GI2" s="314"/>
      <c r="GJ2" s="314"/>
      <c r="GK2" s="315"/>
      <c r="GL2" s="313"/>
      <c r="GM2" s="314"/>
      <c r="GN2" s="314"/>
      <c r="GO2" s="314"/>
      <c r="GP2" s="314"/>
      <c r="GQ2" s="315"/>
      <c r="GR2" s="374"/>
      <c r="GS2" s="375"/>
      <c r="GU2" s="313"/>
      <c r="GV2" s="314"/>
      <c r="GW2" s="314"/>
      <c r="GX2" s="314"/>
      <c r="GY2" s="314"/>
      <c r="GZ2" s="315"/>
      <c r="HA2" s="371"/>
      <c r="HB2" s="313"/>
      <c r="HC2" s="314"/>
      <c r="HD2" s="314"/>
      <c r="HE2" s="314"/>
      <c r="HF2" s="314"/>
      <c r="HG2" s="315"/>
      <c r="HH2" s="313"/>
      <c r="HI2" s="314"/>
      <c r="HJ2" s="314"/>
      <c r="HK2" s="314"/>
      <c r="HL2" s="314"/>
      <c r="HM2" s="315"/>
      <c r="HN2" s="374"/>
      <c r="HO2" s="375"/>
    </row>
    <row r="3" spans="1:223" ht="14" customHeight="1" thickBot="1">
      <c r="A3" s="324"/>
      <c r="B3" s="349"/>
      <c r="C3" s="30" t="s">
        <v>0</v>
      </c>
      <c r="D3" s="56"/>
      <c r="E3" s="337" t="s">
        <v>181</v>
      </c>
      <c r="F3" s="340" t="s">
        <v>1</v>
      </c>
      <c r="G3" s="341"/>
      <c r="H3" s="329" t="s">
        <v>134</v>
      </c>
      <c r="I3" s="329" t="s">
        <v>183</v>
      </c>
      <c r="J3" s="332" t="s">
        <v>135</v>
      </c>
      <c r="K3" s="382" t="s">
        <v>137</v>
      </c>
      <c r="L3" s="337" t="s">
        <v>181</v>
      </c>
      <c r="M3" s="340" t="s">
        <v>1</v>
      </c>
      <c r="N3" s="341"/>
      <c r="O3" s="329" t="s">
        <v>134</v>
      </c>
      <c r="P3" s="329" t="s">
        <v>183</v>
      </c>
      <c r="Q3" s="332" t="s">
        <v>135</v>
      </c>
      <c r="R3" s="337" t="s">
        <v>181</v>
      </c>
      <c r="S3" s="340" t="s">
        <v>1</v>
      </c>
      <c r="T3" s="341"/>
      <c r="U3" s="329" t="s">
        <v>134</v>
      </c>
      <c r="V3" s="329" t="s">
        <v>183</v>
      </c>
      <c r="W3" s="332" t="s">
        <v>135</v>
      </c>
      <c r="X3" s="376" t="s">
        <v>139</v>
      </c>
      <c r="Y3" s="379" t="s">
        <v>138</v>
      </c>
      <c r="AA3" s="337" t="s">
        <v>181</v>
      </c>
      <c r="AB3" s="340" t="s">
        <v>1</v>
      </c>
      <c r="AC3" s="341"/>
      <c r="AD3" s="329" t="s">
        <v>134</v>
      </c>
      <c r="AE3" s="329" t="s">
        <v>183</v>
      </c>
      <c r="AF3" s="332" t="s">
        <v>135</v>
      </c>
      <c r="AG3" s="382" t="s">
        <v>140</v>
      </c>
      <c r="AH3" s="337" t="s">
        <v>181</v>
      </c>
      <c r="AI3" s="340" t="s">
        <v>1</v>
      </c>
      <c r="AJ3" s="341"/>
      <c r="AK3" s="329" t="s">
        <v>134</v>
      </c>
      <c r="AL3" s="329" t="s">
        <v>183</v>
      </c>
      <c r="AM3" s="332" t="s">
        <v>135</v>
      </c>
      <c r="AN3" s="337" t="s">
        <v>181</v>
      </c>
      <c r="AO3" s="340" t="s">
        <v>1</v>
      </c>
      <c r="AP3" s="341"/>
      <c r="AQ3" s="329" t="s">
        <v>134</v>
      </c>
      <c r="AR3" s="329" t="s">
        <v>183</v>
      </c>
      <c r="AS3" s="332" t="s">
        <v>135</v>
      </c>
      <c r="AT3" s="376" t="s">
        <v>141</v>
      </c>
      <c r="AU3" s="379" t="s">
        <v>142</v>
      </c>
      <c r="AW3" s="337" t="s">
        <v>181</v>
      </c>
      <c r="AX3" s="340" t="s">
        <v>1</v>
      </c>
      <c r="AY3" s="341"/>
      <c r="AZ3" s="329" t="s">
        <v>134</v>
      </c>
      <c r="BA3" s="329" t="s">
        <v>183</v>
      </c>
      <c r="BB3" s="332" t="s">
        <v>135</v>
      </c>
      <c r="BC3" s="382" t="s">
        <v>143</v>
      </c>
      <c r="BD3" s="337" t="s">
        <v>181</v>
      </c>
      <c r="BE3" s="340" t="s">
        <v>1</v>
      </c>
      <c r="BF3" s="341"/>
      <c r="BG3" s="329" t="s">
        <v>134</v>
      </c>
      <c r="BH3" s="329" t="s">
        <v>183</v>
      </c>
      <c r="BI3" s="332" t="s">
        <v>135</v>
      </c>
      <c r="BJ3" s="337" t="s">
        <v>181</v>
      </c>
      <c r="BK3" s="340" t="s">
        <v>1</v>
      </c>
      <c r="BL3" s="341"/>
      <c r="BM3" s="329" t="s">
        <v>134</v>
      </c>
      <c r="BN3" s="329" t="s">
        <v>183</v>
      </c>
      <c r="BO3" s="332" t="s">
        <v>135</v>
      </c>
      <c r="BP3" s="376" t="s">
        <v>144</v>
      </c>
      <c r="BQ3" s="379" t="s">
        <v>145</v>
      </c>
      <c r="BR3" s="62"/>
      <c r="BS3" s="337" t="s">
        <v>181</v>
      </c>
      <c r="BT3" s="340" t="s">
        <v>1</v>
      </c>
      <c r="BU3" s="341"/>
      <c r="BV3" s="329" t="s">
        <v>134</v>
      </c>
      <c r="BW3" s="329" t="s">
        <v>183</v>
      </c>
      <c r="BX3" s="332" t="s">
        <v>135</v>
      </c>
      <c r="BY3" s="382" t="s">
        <v>146</v>
      </c>
      <c r="BZ3" s="337" t="s">
        <v>181</v>
      </c>
      <c r="CA3" s="340" t="s">
        <v>1</v>
      </c>
      <c r="CB3" s="341"/>
      <c r="CC3" s="329" t="s">
        <v>134</v>
      </c>
      <c r="CD3" s="329" t="s">
        <v>183</v>
      </c>
      <c r="CE3" s="332" t="s">
        <v>135</v>
      </c>
      <c r="CF3" s="337" t="s">
        <v>181</v>
      </c>
      <c r="CG3" s="340" t="s">
        <v>1</v>
      </c>
      <c r="CH3" s="341"/>
      <c r="CI3" s="329" t="s">
        <v>134</v>
      </c>
      <c r="CJ3" s="329" t="s">
        <v>183</v>
      </c>
      <c r="CK3" s="332" t="s">
        <v>135</v>
      </c>
      <c r="CL3" s="376" t="s">
        <v>147</v>
      </c>
      <c r="CM3" s="379" t="s">
        <v>148</v>
      </c>
      <c r="CO3" s="337" t="s">
        <v>181</v>
      </c>
      <c r="CP3" s="340" t="s">
        <v>1</v>
      </c>
      <c r="CQ3" s="341"/>
      <c r="CR3" s="329" t="s">
        <v>134</v>
      </c>
      <c r="CS3" s="329" t="s">
        <v>183</v>
      </c>
      <c r="CT3" s="332" t="s">
        <v>135</v>
      </c>
      <c r="CU3" s="382" t="s">
        <v>149</v>
      </c>
      <c r="CV3" s="337" t="s">
        <v>181</v>
      </c>
      <c r="CW3" s="340" t="s">
        <v>1</v>
      </c>
      <c r="CX3" s="341"/>
      <c r="CY3" s="329" t="s">
        <v>134</v>
      </c>
      <c r="CZ3" s="329" t="s">
        <v>183</v>
      </c>
      <c r="DA3" s="332" t="s">
        <v>135</v>
      </c>
      <c r="DB3" s="337" t="s">
        <v>181</v>
      </c>
      <c r="DC3" s="340" t="s">
        <v>1</v>
      </c>
      <c r="DD3" s="341"/>
      <c r="DE3" s="329" t="s">
        <v>134</v>
      </c>
      <c r="DF3" s="329" t="s">
        <v>183</v>
      </c>
      <c r="DG3" s="332" t="s">
        <v>135</v>
      </c>
      <c r="DH3" s="376" t="s">
        <v>150</v>
      </c>
      <c r="DI3" s="379" t="s">
        <v>151</v>
      </c>
      <c r="DK3" s="337" t="s">
        <v>181</v>
      </c>
      <c r="DL3" s="340" t="s">
        <v>1</v>
      </c>
      <c r="DM3" s="341"/>
      <c r="DN3" s="329" t="s">
        <v>134</v>
      </c>
      <c r="DO3" s="329" t="s">
        <v>183</v>
      </c>
      <c r="DP3" s="332" t="s">
        <v>135</v>
      </c>
      <c r="DQ3" s="382" t="s">
        <v>152</v>
      </c>
      <c r="DR3" s="337" t="s">
        <v>181</v>
      </c>
      <c r="DS3" s="340" t="s">
        <v>1</v>
      </c>
      <c r="DT3" s="341"/>
      <c r="DU3" s="329" t="s">
        <v>134</v>
      </c>
      <c r="DV3" s="329" t="s">
        <v>183</v>
      </c>
      <c r="DW3" s="332" t="s">
        <v>135</v>
      </c>
      <c r="DX3" s="337" t="s">
        <v>181</v>
      </c>
      <c r="DY3" s="340" t="s">
        <v>1</v>
      </c>
      <c r="DZ3" s="341"/>
      <c r="EA3" s="329" t="s">
        <v>134</v>
      </c>
      <c r="EB3" s="329" t="s">
        <v>183</v>
      </c>
      <c r="EC3" s="332" t="s">
        <v>135</v>
      </c>
      <c r="ED3" s="376" t="s">
        <v>153</v>
      </c>
      <c r="EE3" s="379" t="s">
        <v>154</v>
      </c>
      <c r="EG3" s="337" t="s">
        <v>181</v>
      </c>
      <c r="EH3" s="340" t="s">
        <v>1</v>
      </c>
      <c r="EI3" s="341"/>
      <c r="EJ3" s="329" t="s">
        <v>134</v>
      </c>
      <c r="EK3" s="329" t="s">
        <v>183</v>
      </c>
      <c r="EL3" s="332" t="s">
        <v>135</v>
      </c>
      <c r="EM3" s="382" t="s">
        <v>155</v>
      </c>
      <c r="EN3" s="337" t="s">
        <v>181</v>
      </c>
      <c r="EO3" s="340" t="s">
        <v>1</v>
      </c>
      <c r="EP3" s="341"/>
      <c r="EQ3" s="329" t="s">
        <v>134</v>
      </c>
      <c r="ER3" s="329" t="s">
        <v>183</v>
      </c>
      <c r="ES3" s="332" t="s">
        <v>135</v>
      </c>
      <c r="ET3" s="337" t="s">
        <v>181</v>
      </c>
      <c r="EU3" s="340" t="s">
        <v>1</v>
      </c>
      <c r="EV3" s="341"/>
      <c r="EW3" s="329" t="s">
        <v>134</v>
      </c>
      <c r="EX3" s="329" t="s">
        <v>183</v>
      </c>
      <c r="EY3" s="332" t="s">
        <v>135</v>
      </c>
      <c r="EZ3" s="376" t="s">
        <v>156</v>
      </c>
      <c r="FA3" s="379" t="s">
        <v>157</v>
      </c>
      <c r="FC3" s="337" t="s">
        <v>181</v>
      </c>
      <c r="FD3" s="340" t="s">
        <v>1</v>
      </c>
      <c r="FE3" s="341"/>
      <c r="FF3" s="329" t="s">
        <v>134</v>
      </c>
      <c r="FG3" s="329" t="s">
        <v>183</v>
      </c>
      <c r="FH3" s="332" t="s">
        <v>135</v>
      </c>
      <c r="FI3" s="382" t="s">
        <v>158</v>
      </c>
      <c r="FJ3" s="337" t="s">
        <v>181</v>
      </c>
      <c r="FK3" s="340" t="s">
        <v>1</v>
      </c>
      <c r="FL3" s="341"/>
      <c r="FM3" s="329" t="s">
        <v>134</v>
      </c>
      <c r="FN3" s="329" t="s">
        <v>183</v>
      </c>
      <c r="FO3" s="332" t="s">
        <v>135</v>
      </c>
      <c r="FP3" s="337" t="s">
        <v>181</v>
      </c>
      <c r="FQ3" s="340" t="s">
        <v>1</v>
      </c>
      <c r="FR3" s="341"/>
      <c r="FS3" s="329" t="s">
        <v>134</v>
      </c>
      <c r="FT3" s="329" t="s">
        <v>183</v>
      </c>
      <c r="FU3" s="332" t="s">
        <v>135</v>
      </c>
      <c r="FV3" s="376" t="s">
        <v>159</v>
      </c>
      <c r="FW3" s="379" t="s">
        <v>160</v>
      </c>
      <c r="FY3" s="337" t="s">
        <v>181</v>
      </c>
      <c r="FZ3" s="340" t="s">
        <v>1</v>
      </c>
      <c r="GA3" s="341"/>
      <c r="GB3" s="329" t="s">
        <v>134</v>
      </c>
      <c r="GC3" s="329" t="s">
        <v>183</v>
      </c>
      <c r="GD3" s="332" t="s">
        <v>135</v>
      </c>
      <c r="GE3" s="382" t="s">
        <v>149</v>
      </c>
      <c r="GF3" s="337" t="s">
        <v>181</v>
      </c>
      <c r="GG3" s="340" t="s">
        <v>1</v>
      </c>
      <c r="GH3" s="341"/>
      <c r="GI3" s="329" t="s">
        <v>134</v>
      </c>
      <c r="GJ3" s="329" t="s">
        <v>183</v>
      </c>
      <c r="GK3" s="332" t="s">
        <v>135</v>
      </c>
      <c r="GL3" s="337" t="s">
        <v>181</v>
      </c>
      <c r="GM3" s="340" t="s">
        <v>1</v>
      </c>
      <c r="GN3" s="341"/>
      <c r="GO3" s="329" t="s">
        <v>134</v>
      </c>
      <c r="GP3" s="329" t="s">
        <v>183</v>
      </c>
      <c r="GQ3" s="332" t="s">
        <v>135</v>
      </c>
      <c r="GR3" s="376" t="s">
        <v>150</v>
      </c>
      <c r="GS3" s="379" t="s">
        <v>151</v>
      </c>
      <c r="GU3" s="337" t="s">
        <v>181</v>
      </c>
      <c r="GV3" s="340" t="s">
        <v>1</v>
      </c>
      <c r="GW3" s="341"/>
      <c r="GX3" s="329" t="s">
        <v>134</v>
      </c>
      <c r="GY3" s="329" t="s">
        <v>183</v>
      </c>
      <c r="GZ3" s="332" t="s">
        <v>135</v>
      </c>
      <c r="HA3" s="382" t="s">
        <v>149</v>
      </c>
      <c r="HB3" s="337" t="s">
        <v>181</v>
      </c>
      <c r="HC3" s="340" t="s">
        <v>1</v>
      </c>
      <c r="HD3" s="341"/>
      <c r="HE3" s="329" t="s">
        <v>134</v>
      </c>
      <c r="HF3" s="329" t="s">
        <v>183</v>
      </c>
      <c r="HG3" s="332" t="s">
        <v>135</v>
      </c>
      <c r="HH3" s="337" t="s">
        <v>181</v>
      </c>
      <c r="HI3" s="340" t="s">
        <v>1</v>
      </c>
      <c r="HJ3" s="341"/>
      <c r="HK3" s="329" t="s">
        <v>134</v>
      </c>
      <c r="HL3" s="329" t="s">
        <v>183</v>
      </c>
      <c r="HM3" s="332" t="s">
        <v>135</v>
      </c>
      <c r="HN3" s="376" t="s">
        <v>150</v>
      </c>
      <c r="HO3" s="379" t="s">
        <v>151</v>
      </c>
    </row>
    <row r="4" spans="1:223" ht="12.75" customHeight="1">
      <c r="A4" s="324"/>
      <c r="B4" s="349"/>
      <c r="C4" s="31" t="s">
        <v>2</v>
      </c>
      <c r="D4" s="57"/>
      <c r="E4" s="338"/>
      <c r="F4" s="335" t="s">
        <v>182</v>
      </c>
      <c r="G4" s="329" t="s">
        <v>133</v>
      </c>
      <c r="H4" s="330"/>
      <c r="I4" s="330"/>
      <c r="J4" s="333"/>
      <c r="K4" s="383"/>
      <c r="L4" s="338"/>
      <c r="M4" s="335" t="s">
        <v>182</v>
      </c>
      <c r="N4" s="329" t="s">
        <v>133</v>
      </c>
      <c r="O4" s="330"/>
      <c r="P4" s="330"/>
      <c r="Q4" s="333"/>
      <c r="R4" s="338"/>
      <c r="S4" s="335" t="s">
        <v>182</v>
      </c>
      <c r="T4" s="329" t="s">
        <v>133</v>
      </c>
      <c r="U4" s="330"/>
      <c r="V4" s="330"/>
      <c r="W4" s="333"/>
      <c r="X4" s="377"/>
      <c r="Y4" s="380"/>
      <c r="AA4" s="338"/>
      <c r="AB4" s="335" t="s">
        <v>182</v>
      </c>
      <c r="AC4" s="329" t="s">
        <v>133</v>
      </c>
      <c r="AD4" s="330"/>
      <c r="AE4" s="330"/>
      <c r="AF4" s="333"/>
      <c r="AG4" s="383"/>
      <c r="AH4" s="338"/>
      <c r="AI4" s="335" t="s">
        <v>182</v>
      </c>
      <c r="AJ4" s="329" t="s">
        <v>133</v>
      </c>
      <c r="AK4" s="330"/>
      <c r="AL4" s="330"/>
      <c r="AM4" s="333"/>
      <c r="AN4" s="338"/>
      <c r="AO4" s="335" t="s">
        <v>182</v>
      </c>
      <c r="AP4" s="329" t="s">
        <v>133</v>
      </c>
      <c r="AQ4" s="330"/>
      <c r="AR4" s="330"/>
      <c r="AS4" s="333"/>
      <c r="AT4" s="377"/>
      <c r="AU4" s="380"/>
      <c r="AW4" s="338"/>
      <c r="AX4" s="335" t="s">
        <v>182</v>
      </c>
      <c r="AY4" s="329" t="s">
        <v>133</v>
      </c>
      <c r="AZ4" s="330"/>
      <c r="BA4" s="330"/>
      <c r="BB4" s="333"/>
      <c r="BC4" s="383"/>
      <c r="BD4" s="338"/>
      <c r="BE4" s="335" t="s">
        <v>182</v>
      </c>
      <c r="BF4" s="329" t="s">
        <v>133</v>
      </c>
      <c r="BG4" s="330"/>
      <c r="BH4" s="330"/>
      <c r="BI4" s="333"/>
      <c r="BJ4" s="338"/>
      <c r="BK4" s="335" t="s">
        <v>182</v>
      </c>
      <c r="BL4" s="329" t="s">
        <v>133</v>
      </c>
      <c r="BM4" s="330"/>
      <c r="BN4" s="330"/>
      <c r="BO4" s="333"/>
      <c r="BP4" s="377"/>
      <c r="BQ4" s="380"/>
      <c r="BR4" s="62"/>
      <c r="BS4" s="338"/>
      <c r="BT4" s="335" t="s">
        <v>182</v>
      </c>
      <c r="BU4" s="329" t="s">
        <v>133</v>
      </c>
      <c r="BV4" s="330"/>
      <c r="BW4" s="330"/>
      <c r="BX4" s="333"/>
      <c r="BY4" s="383"/>
      <c r="BZ4" s="338"/>
      <c r="CA4" s="335" t="s">
        <v>182</v>
      </c>
      <c r="CB4" s="329" t="s">
        <v>133</v>
      </c>
      <c r="CC4" s="330"/>
      <c r="CD4" s="330"/>
      <c r="CE4" s="333"/>
      <c r="CF4" s="338"/>
      <c r="CG4" s="335" t="s">
        <v>182</v>
      </c>
      <c r="CH4" s="329" t="s">
        <v>133</v>
      </c>
      <c r="CI4" s="330"/>
      <c r="CJ4" s="330"/>
      <c r="CK4" s="333"/>
      <c r="CL4" s="377"/>
      <c r="CM4" s="380"/>
      <c r="CO4" s="338"/>
      <c r="CP4" s="335" t="s">
        <v>182</v>
      </c>
      <c r="CQ4" s="329" t="s">
        <v>133</v>
      </c>
      <c r="CR4" s="330"/>
      <c r="CS4" s="330"/>
      <c r="CT4" s="333"/>
      <c r="CU4" s="383"/>
      <c r="CV4" s="338"/>
      <c r="CW4" s="335" t="s">
        <v>182</v>
      </c>
      <c r="CX4" s="329" t="s">
        <v>133</v>
      </c>
      <c r="CY4" s="330"/>
      <c r="CZ4" s="330"/>
      <c r="DA4" s="333"/>
      <c r="DB4" s="338"/>
      <c r="DC4" s="335" t="s">
        <v>182</v>
      </c>
      <c r="DD4" s="329" t="s">
        <v>133</v>
      </c>
      <c r="DE4" s="330"/>
      <c r="DF4" s="330"/>
      <c r="DG4" s="333"/>
      <c r="DH4" s="377"/>
      <c r="DI4" s="380"/>
      <c r="DK4" s="338"/>
      <c r="DL4" s="335" t="s">
        <v>182</v>
      </c>
      <c r="DM4" s="329" t="s">
        <v>133</v>
      </c>
      <c r="DN4" s="330"/>
      <c r="DO4" s="330"/>
      <c r="DP4" s="333"/>
      <c r="DQ4" s="383"/>
      <c r="DR4" s="338"/>
      <c r="DS4" s="335" t="s">
        <v>182</v>
      </c>
      <c r="DT4" s="329" t="s">
        <v>133</v>
      </c>
      <c r="DU4" s="330"/>
      <c r="DV4" s="330"/>
      <c r="DW4" s="333"/>
      <c r="DX4" s="338"/>
      <c r="DY4" s="335" t="s">
        <v>182</v>
      </c>
      <c r="DZ4" s="329" t="s">
        <v>133</v>
      </c>
      <c r="EA4" s="330"/>
      <c r="EB4" s="330"/>
      <c r="EC4" s="333"/>
      <c r="ED4" s="377"/>
      <c r="EE4" s="380"/>
      <c r="EG4" s="338"/>
      <c r="EH4" s="335" t="s">
        <v>182</v>
      </c>
      <c r="EI4" s="329" t="s">
        <v>133</v>
      </c>
      <c r="EJ4" s="330"/>
      <c r="EK4" s="330"/>
      <c r="EL4" s="333"/>
      <c r="EM4" s="383"/>
      <c r="EN4" s="338"/>
      <c r="EO4" s="335" t="s">
        <v>182</v>
      </c>
      <c r="EP4" s="329" t="s">
        <v>133</v>
      </c>
      <c r="EQ4" s="330"/>
      <c r="ER4" s="330"/>
      <c r="ES4" s="333"/>
      <c r="ET4" s="338"/>
      <c r="EU4" s="335" t="s">
        <v>182</v>
      </c>
      <c r="EV4" s="329" t="s">
        <v>133</v>
      </c>
      <c r="EW4" s="330"/>
      <c r="EX4" s="330"/>
      <c r="EY4" s="333"/>
      <c r="EZ4" s="377"/>
      <c r="FA4" s="380"/>
      <c r="FC4" s="338"/>
      <c r="FD4" s="335" t="s">
        <v>182</v>
      </c>
      <c r="FE4" s="329" t="s">
        <v>133</v>
      </c>
      <c r="FF4" s="330"/>
      <c r="FG4" s="330"/>
      <c r="FH4" s="333"/>
      <c r="FI4" s="383"/>
      <c r="FJ4" s="338"/>
      <c r="FK4" s="335" t="s">
        <v>182</v>
      </c>
      <c r="FL4" s="329" t="s">
        <v>133</v>
      </c>
      <c r="FM4" s="330"/>
      <c r="FN4" s="330"/>
      <c r="FO4" s="333"/>
      <c r="FP4" s="338"/>
      <c r="FQ4" s="335" t="s">
        <v>182</v>
      </c>
      <c r="FR4" s="329" t="s">
        <v>133</v>
      </c>
      <c r="FS4" s="330"/>
      <c r="FT4" s="330"/>
      <c r="FU4" s="333"/>
      <c r="FV4" s="377"/>
      <c r="FW4" s="380"/>
      <c r="FY4" s="338"/>
      <c r="FZ4" s="335" t="s">
        <v>182</v>
      </c>
      <c r="GA4" s="329" t="s">
        <v>133</v>
      </c>
      <c r="GB4" s="330"/>
      <c r="GC4" s="330"/>
      <c r="GD4" s="333"/>
      <c r="GE4" s="383"/>
      <c r="GF4" s="338"/>
      <c r="GG4" s="335" t="s">
        <v>182</v>
      </c>
      <c r="GH4" s="329" t="s">
        <v>133</v>
      </c>
      <c r="GI4" s="330"/>
      <c r="GJ4" s="330"/>
      <c r="GK4" s="333"/>
      <c r="GL4" s="338"/>
      <c r="GM4" s="335" t="s">
        <v>182</v>
      </c>
      <c r="GN4" s="329" t="s">
        <v>133</v>
      </c>
      <c r="GO4" s="330"/>
      <c r="GP4" s="330"/>
      <c r="GQ4" s="333"/>
      <c r="GR4" s="377"/>
      <c r="GS4" s="380"/>
      <c r="GU4" s="338"/>
      <c r="GV4" s="335" t="s">
        <v>182</v>
      </c>
      <c r="GW4" s="329" t="s">
        <v>133</v>
      </c>
      <c r="GX4" s="330"/>
      <c r="GY4" s="330"/>
      <c r="GZ4" s="333"/>
      <c r="HA4" s="383"/>
      <c r="HB4" s="338"/>
      <c r="HC4" s="335" t="s">
        <v>182</v>
      </c>
      <c r="HD4" s="329" t="s">
        <v>133</v>
      </c>
      <c r="HE4" s="330"/>
      <c r="HF4" s="330"/>
      <c r="HG4" s="333"/>
      <c r="HH4" s="338"/>
      <c r="HI4" s="335" t="s">
        <v>182</v>
      </c>
      <c r="HJ4" s="329" t="s">
        <v>133</v>
      </c>
      <c r="HK4" s="330"/>
      <c r="HL4" s="330"/>
      <c r="HM4" s="333"/>
      <c r="HN4" s="377"/>
      <c r="HO4" s="380"/>
    </row>
    <row r="5" spans="1:223" ht="23.25" customHeight="1" thickBot="1">
      <c r="A5" s="325"/>
      <c r="B5" s="350"/>
      <c r="C5" s="32"/>
      <c r="D5" s="56"/>
      <c r="E5" s="339"/>
      <c r="F5" s="336"/>
      <c r="G5" s="331"/>
      <c r="H5" s="331"/>
      <c r="I5" s="331"/>
      <c r="J5" s="334"/>
      <c r="K5" s="384"/>
      <c r="L5" s="339"/>
      <c r="M5" s="336"/>
      <c r="N5" s="331"/>
      <c r="O5" s="331"/>
      <c r="P5" s="331"/>
      <c r="Q5" s="334"/>
      <c r="R5" s="339"/>
      <c r="S5" s="336"/>
      <c r="T5" s="331"/>
      <c r="U5" s="331"/>
      <c r="V5" s="331"/>
      <c r="W5" s="334"/>
      <c r="X5" s="378"/>
      <c r="Y5" s="381"/>
      <c r="AA5" s="339"/>
      <c r="AB5" s="336"/>
      <c r="AC5" s="331"/>
      <c r="AD5" s="331"/>
      <c r="AE5" s="331"/>
      <c r="AF5" s="334"/>
      <c r="AG5" s="384"/>
      <c r="AH5" s="339"/>
      <c r="AI5" s="336"/>
      <c r="AJ5" s="331"/>
      <c r="AK5" s="331"/>
      <c r="AL5" s="331"/>
      <c r="AM5" s="334"/>
      <c r="AN5" s="339"/>
      <c r="AO5" s="336"/>
      <c r="AP5" s="331"/>
      <c r="AQ5" s="331"/>
      <c r="AR5" s="331"/>
      <c r="AS5" s="334"/>
      <c r="AT5" s="378"/>
      <c r="AU5" s="381"/>
      <c r="AW5" s="339"/>
      <c r="AX5" s="336"/>
      <c r="AY5" s="331"/>
      <c r="AZ5" s="331"/>
      <c r="BA5" s="331"/>
      <c r="BB5" s="334"/>
      <c r="BC5" s="384"/>
      <c r="BD5" s="339"/>
      <c r="BE5" s="336"/>
      <c r="BF5" s="331"/>
      <c r="BG5" s="331"/>
      <c r="BH5" s="331"/>
      <c r="BI5" s="334"/>
      <c r="BJ5" s="339"/>
      <c r="BK5" s="336"/>
      <c r="BL5" s="331"/>
      <c r="BM5" s="331"/>
      <c r="BN5" s="331"/>
      <c r="BO5" s="334"/>
      <c r="BP5" s="378"/>
      <c r="BQ5" s="381"/>
      <c r="BR5" s="62"/>
      <c r="BS5" s="339"/>
      <c r="BT5" s="336"/>
      <c r="BU5" s="331"/>
      <c r="BV5" s="331"/>
      <c r="BW5" s="331"/>
      <c r="BX5" s="334"/>
      <c r="BY5" s="384"/>
      <c r="BZ5" s="339"/>
      <c r="CA5" s="336"/>
      <c r="CB5" s="331"/>
      <c r="CC5" s="331"/>
      <c r="CD5" s="331"/>
      <c r="CE5" s="334"/>
      <c r="CF5" s="339"/>
      <c r="CG5" s="336"/>
      <c r="CH5" s="331"/>
      <c r="CI5" s="331"/>
      <c r="CJ5" s="331"/>
      <c r="CK5" s="334"/>
      <c r="CL5" s="378"/>
      <c r="CM5" s="381"/>
      <c r="CO5" s="339"/>
      <c r="CP5" s="336"/>
      <c r="CQ5" s="331"/>
      <c r="CR5" s="331"/>
      <c r="CS5" s="331"/>
      <c r="CT5" s="334"/>
      <c r="CU5" s="384"/>
      <c r="CV5" s="339"/>
      <c r="CW5" s="336"/>
      <c r="CX5" s="331"/>
      <c r="CY5" s="331"/>
      <c r="CZ5" s="331"/>
      <c r="DA5" s="334"/>
      <c r="DB5" s="339"/>
      <c r="DC5" s="336"/>
      <c r="DD5" s="331"/>
      <c r="DE5" s="331"/>
      <c r="DF5" s="331"/>
      <c r="DG5" s="334"/>
      <c r="DH5" s="378"/>
      <c r="DI5" s="381"/>
      <c r="DK5" s="339"/>
      <c r="DL5" s="336"/>
      <c r="DM5" s="331"/>
      <c r="DN5" s="331"/>
      <c r="DO5" s="331"/>
      <c r="DP5" s="334"/>
      <c r="DQ5" s="384"/>
      <c r="DR5" s="339"/>
      <c r="DS5" s="336"/>
      <c r="DT5" s="331"/>
      <c r="DU5" s="331"/>
      <c r="DV5" s="331"/>
      <c r="DW5" s="334"/>
      <c r="DX5" s="339"/>
      <c r="DY5" s="336"/>
      <c r="DZ5" s="331"/>
      <c r="EA5" s="331"/>
      <c r="EB5" s="331"/>
      <c r="EC5" s="334"/>
      <c r="ED5" s="378"/>
      <c r="EE5" s="381"/>
      <c r="EG5" s="339"/>
      <c r="EH5" s="336"/>
      <c r="EI5" s="331"/>
      <c r="EJ5" s="331"/>
      <c r="EK5" s="331"/>
      <c r="EL5" s="334"/>
      <c r="EM5" s="384"/>
      <c r="EN5" s="339"/>
      <c r="EO5" s="336"/>
      <c r="EP5" s="331"/>
      <c r="EQ5" s="331"/>
      <c r="ER5" s="331"/>
      <c r="ES5" s="334"/>
      <c r="ET5" s="339"/>
      <c r="EU5" s="336"/>
      <c r="EV5" s="331"/>
      <c r="EW5" s="331"/>
      <c r="EX5" s="331"/>
      <c r="EY5" s="334"/>
      <c r="EZ5" s="378"/>
      <c r="FA5" s="381"/>
      <c r="FC5" s="339"/>
      <c r="FD5" s="336"/>
      <c r="FE5" s="331"/>
      <c r="FF5" s="331"/>
      <c r="FG5" s="331"/>
      <c r="FH5" s="334"/>
      <c r="FI5" s="384"/>
      <c r="FJ5" s="339"/>
      <c r="FK5" s="336"/>
      <c r="FL5" s="331"/>
      <c r="FM5" s="331"/>
      <c r="FN5" s="331"/>
      <c r="FO5" s="334"/>
      <c r="FP5" s="339"/>
      <c r="FQ5" s="336"/>
      <c r="FR5" s="331"/>
      <c r="FS5" s="331"/>
      <c r="FT5" s="331"/>
      <c r="FU5" s="334"/>
      <c r="FV5" s="378"/>
      <c r="FW5" s="381"/>
      <c r="FY5" s="339"/>
      <c r="FZ5" s="336"/>
      <c r="GA5" s="331"/>
      <c r="GB5" s="331"/>
      <c r="GC5" s="331"/>
      <c r="GD5" s="334"/>
      <c r="GE5" s="384"/>
      <c r="GF5" s="339"/>
      <c r="GG5" s="336"/>
      <c r="GH5" s="331"/>
      <c r="GI5" s="331"/>
      <c r="GJ5" s="331"/>
      <c r="GK5" s="334"/>
      <c r="GL5" s="339"/>
      <c r="GM5" s="336"/>
      <c r="GN5" s="331"/>
      <c r="GO5" s="331"/>
      <c r="GP5" s="331"/>
      <c r="GQ5" s="334"/>
      <c r="GR5" s="378"/>
      <c r="GS5" s="381"/>
      <c r="GU5" s="339"/>
      <c r="GV5" s="336"/>
      <c r="GW5" s="331"/>
      <c r="GX5" s="331"/>
      <c r="GY5" s="331"/>
      <c r="GZ5" s="334"/>
      <c r="HA5" s="384"/>
      <c r="HB5" s="339"/>
      <c r="HC5" s="336"/>
      <c r="HD5" s="331"/>
      <c r="HE5" s="331"/>
      <c r="HF5" s="331"/>
      <c r="HG5" s="334"/>
      <c r="HH5" s="339"/>
      <c r="HI5" s="336"/>
      <c r="HJ5" s="331"/>
      <c r="HK5" s="331"/>
      <c r="HL5" s="331"/>
      <c r="HM5" s="334"/>
      <c r="HN5" s="378"/>
      <c r="HO5" s="381"/>
    </row>
    <row r="6" spans="1:223" ht="18" customHeight="1" thickTop="1">
      <c r="A6" s="65">
        <v>301</v>
      </c>
      <c r="B6" s="68" t="s">
        <v>3</v>
      </c>
      <c r="C6" s="33" t="s">
        <v>4</v>
      </c>
      <c r="D6" s="41"/>
      <c r="E6" s="75">
        <v>54046000</v>
      </c>
      <c r="F6" s="76">
        <v>4605000</v>
      </c>
      <c r="G6" s="76">
        <v>49441000</v>
      </c>
      <c r="H6" s="76">
        <v>114</v>
      </c>
      <c r="I6" s="76">
        <v>36141</v>
      </c>
      <c r="J6" s="77">
        <v>8</v>
      </c>
      <c r="K6" s="38">
        <v>100</v>
      </c>
      <c r="L6" s="75">
        <v>54046000</v>
      </c>
      <c r="M6" s="76">
        <v>4605000</v>
      </c>
      <c r="N6" s="76">
        <v>49441000</v>
      </c>
      <c r="O6" s="76">
        <v>114</v>
      </c>
      <c r="P6" s="76">
        <v>36141</v>
      </c>
      <c r="Q6" s="77">
        <v>8</v>
      </c>
      <c r="R6" s="75">
        <v>59985674</v>
      </c>
      <c r="S6" s="76">
        <v>6948674</v>
      </c>
      <c r="T6" s="76">
        <v>53037000</v>
      </c>
      <c r="U6" s="76">
        <v>90</v>
      </c>
      <c r="V6" s="76">
        <v>49108</v>
      </c>
      <c r="W6" s="77">
        <v>1</v>
      </c>
      <c r="X6" s="37">
        <v>135.87891867961594</v>
      </c>
      <c r="Y6" s="38">
        <v>103.69744705112231</v>
      </c>
      <c r="AA6" s="75">
        <v>55082200</v>
      </c>
      <c r="AB6" s="76">
        <v>4652380</v>
      </c>
      <c r="AC6" s="76">
        <v>50429820</v>
      </c>
      <c r="AD6" s="76">
        <v>114</v>
      </c>
      <c r="AE6" s="76">
        <v>36864</v>
      </c>
      <c r="AF6" s="77">
        <v>8</v>
      </c>
      <c r="AG6" s="38">
        <v>102.00049804930688</v>
      </c>
      <c r="AH6" s="75">
        <v>55376374</v>
      </c>
      <c r="AI6" s="76">
        <v>4652380</v>
      </c>
      <c r="AJ6" s="76">
        <v>50723994</v>
      </c>
      <c r="AK6" s="76">
        <v>114</v>
      </c>
      <c r="AL6" s="76">
        <v>37079</v>
      </c>
      <c r="AM6" s="77">
        <v>8</v>
      </c>
      <c r="AN6" s="75">
        <v>60862084</v>
      </c>
      <c r="AO6" s="76">
        <v>5289726</v>
      </c>
      <c r="AP6" s="76">
        <v>55572358</v>
      </c>
      <c r="AQ6" s="76">
        <v>96</v>
      </c>
      <c r="AR6" s="76">
        <v>48240</v>
      </c>
      <c r="AS6" s="77">
        <v>1</v>
      </c>
      <c r="AT6" s="37">
        <v>130.100596024704</v>
      </c>
      <c r="AU6" s="38">
        <v>98.232467215117708</v>
      </c>
      <c r="AW6" s="75">
        <v>57774654</v>
      </c>
      <c r="AX6" s="76">
        <v>4796867</v>
      </c>
      <c r="AY6" s="76">
        <v>52977787</v>
      </c>
      <c r="AZ6" s="76">
        <v>110</v>
      </c>
      <c r="BA6" s="76">
        <v>40135</v>
      </c>
      <c r="BB6" s="77">
        <v>8</v>
      </c>
      <c r="BC6" s="38">
        <v>108.87315538194444</v>
      </c>
      <c r="BD6" s="75">
        <v>58039543</v>
      </c>
      <c r="BE6" s="76">
        <v>4796867</v>
      </c>
      <c r="BF6" s="76">
        <v>53242676</v>
      </c>
      <c r="BG6" s="76">
        <v>110</v>
      </c>
      <c r="BH6" s="76">
        <v>40335</v>
      </c>
      <c r="BI6" s="77">
        <v>8</v>
      </c>
      <c r="BJ6" s="75">
        <v>63837196</v>
      </c>
      <c r="BK6" s="76">
        <v>5484393</v>
      </c>
      <c r="BL6" s="76">
        <v>58352803</v>
      </c>
      <c r="BM6" s="76">
        <v>101</v>
      </c>
      <c r="BN6" s="76">
        <v>48146</v>
      </c>
      <c r="BO6" s="77">
        <v>1</v>
      </c>
      <c r="BP6" s="37">
        <v>119.36531548283129</v>
      </c>
      <c r="BQ6" s="38">
        <v>99.805140961857376</v>
      </c>
      <c r="BS6" s="75">
        <v>59808542</v>
      </c>
      <c r="BT6" s="76">
        <v>5241421</v>
      </c>
      <c r="BU6" s="76">
        <v>54567121</v>
      </c>
      <c r="BV6" s="76">
        <v>110</v>
      </c>
      <c r="BW6" s="76">
        <v>41339</v>
      </c>
      <c r="BX6" s="77">
        <v>9</v>
      </c>
      <c r="BY6" s="38">
        <v>102.99987542045596</v>
      </c>
      <c r="BZ6" s="75">
        <v>60263268</v>
      </c>
      <c r="CA6" s="76">
        <v>5241421</v>
      </c>
      <c r="CB6" s="76">
        <v>55021847</v>
      </c>
      <c r="CC6" s="76">
        <v>110</v>
      </c>
      <c r="CD6" s="76">
        <v>41683</v>
      </c>
      <c r="CE6" s="77">
        <v>7</v>
      </c>
      <c r="CF6" s="75">
        <v>65718796</v>
      </c>
      <c r="CG6" s="76">
        <v>5245205</v>
      </c>
      <c r="CH6" s="76">
        <v>60473591</v>
      </c>
      <c r="CI6" s="76">
        <v>101</v>
      </c>
      <c r="CJ6" s="76">
        <v>49896</v>
      </c>
      <c r="CK6" s="77">
        <v>1</v>
      </c>
      <c r="CL6" s="37">
        <v>119.70347623731496</v>
      </c>
      <c r="CM6" s="38">
        <v>103.63477755161384</v>
      </c>
      <c r="CO6" s="75">
        <v>62745698</v>
      </c>
      <c r="CP6" s="76">
        <v>5450221</v>
      </c>
      <c r="CQ6" s="76">
        <v>57295477</v>
      </c>
      <c r="CR6" s="76">
        <v>110</v>
      </c>
      <c r="CS6" s="76">
        <v>43406</v>
      </c>
      <c r="CT6" s="77">
        <v>7</v>
      </c>
      <c r="CU6" s="38">
        <v>105.00012095115991</v>
      </c>
      <c r="CV6" s="75">
        <v>63605130</v>
      </c>
      <c r="CW6" s="76">
        <v>5450221</v>
      </c>
      <c r="CX6" s="76">
        <v>58154909</v>
      </c>
      <c r="CY6" s="76">
        <v>110</v>
      </c>
      <c r="CZ6" s="76">
        <v>44057</v>
      </c>
      <c r="DA6" s="77">
        <v>8</v>
      </c>
      <c r="DB6" s="75">
        <v>67191916</v>
      </c>
      <c r="DC6" s="76">
        <v>5266282</v>
      </c>
      <c r="DD6" s="76">
        <v>61925634</v>
      </c>
      <c r="DE6" s="76">
        <v>101</v>
      </c>
      <c r="DF6" s="76">
        <v>51094</v>
      </c>
      <c r="DG6" s="77">
        <v>5</v>
      </c>
      <c r="DH6" s="37">
        <v>115.9724901831718</v>
      </c>
      <c r="DI6" s="38">
        <v>102.40099406766075</v>
      </c>
      <c r="DK6" s="75">
        <v>68099091</v>
      </c>
      <c r="DL6" s="76">
        <v>5647021</v>
      </c>
      <c r="DM6" s="76">
        <v>62452070</v>
      </c>
      <c r="DN6" s="76">
        <v>110</v>
      </c>
      <c r="DO6" s="76">
        <v>47312</v>
      </c>
      <c r="DP6" s="77">
        <v>9</v>
      </c>
      <c r="DQ6" s="38">
        <v>108.99875593235959</v>
      </c>
      <c r="DR6" s="75">
        <v>68099091</v>
      </c>
      <c r="DS6" s="76">
        <v>5647021</v>
      </c>
      <c r="DT6" s="76">
        <v>62452070</v>
      </c>
      <c r="DU6" s="76">
        <v>110</v>
      </c>
      <c r="DV6" s="76">
        <v>47312</v>
      </c>
      <c r="DW6" s="77">
        <v>10</v>
      </c>
      <c r="DX6" s="75">
        <v>67058487</v>
      </c>
      <c r="DY6" s="76">
        <v>4282805</v>
      </c>
      <c r="DZ6" s="76">
        <v>62775682</v>
      </c>
      <c r="EA6" s="76">
        <v>99.65</v>
      </c>
      <c r="EB6" s="76">
        <v>52497</v>
      </c>
      <c r="EC6" s="77">
        <v>6</v>
      </c>
      <c r="ED6" s="37">
        <v>110.95916469394658</v>
      </c>
      <c r="EE6" s="38">
        <v>102.74591928602183</v>
      </c>
      <c r="EG6" s="75">
        <v>72767815</v>
      </c>
      <c r="EH6" s="76">
        <v>5908621</v>
      </c>
      <c r="EI6" s="76">
        <v>66859194</v>
      </c>
      <c r="EJ6" s="76">
        <v>110</v>
      </c>
      <c r="EK6" s="76">
        <v>50651</v>
      </c>
      <c r="EL6" s="77">
        <v>6</v>
      </c>
      <c r="EM6" s="38">
        <v>107.05740615488671</v>
      </c>
      <c r="EN6" s="75">
        <v>72767815</v>
      </c>
      <c r="EO6" s="76">
        <v>5908621</v>
      </c>
      <c r="EP6" s="76">
        <v>66859194</v>
      </c>
      <c r="EQ6" s="76">
        <v>110</v>
      </c>
      <c r="ER6" s="76">
        <v>50651</v>
      </c>
      <c r="ES6" s="77">
        <v>8</v>
      </c>
      <c r="ET6" s="75">
        <v>72439019</v>
      </c>
      <c r="EU6" s="76">
        <v>5128890</v>
      </c>
      <c r="EV6" s="76">
        <v>67310129</v>
      </c>
      <c r="EW6" s="76">
        <v>100.34</v>
      </c>
      <c r="EX6" s="76">
        <v>55902</v>
      </c>
      <c r="EY6" s="77">
        <v>4</v>
      </c>
      <c r="EZ6" s="37">
        <v>110.36702138161144</v>
      </c>
      <c r="FA6" s="38">
        <v>106.48608491913825</v>
      </c>
      <c r="FC6" s="75">
        <v>75086215</v>
      </c>
      <c r="FD6" s="76">
        <v>6247021</v>
      </c>
      <c r="FE6" s="76">
        <v>68839194</v>
      </c>
      <c r="FF6" s="76">
        <v>110</v>
      </c>
      <c r="FG6" s="76">
        <v>52151</v>
      </c>
      <c r="FH6" s="77">
        <v>11</v>
      </c>
      <c r="FI6" s="38">
        <v>102.96144202483663</v>
      </c>
      <c r="FJ6" s="75">
        <v>75086215</v>
      </c>
      <c r="FK6" s="76">
        <v>6247021</v>
      </c>
      <c r="FL6" s="76">
        <v>68839194</v>
      </c>
      <c r="FM6" s="76">
        <v>110</v>
      </c>
      <c r="FN6" s="76">
        <v>52151</v>
      </c>
      <c r="FO6" s="77">
        <v>10</v>
      </c>
      <c r="FP6" s="75">
        <v>74888919</v>
      </c>
      <c r="FQ6" s="76">
        <v>5721591</v>
      </c>
      <c r="FR6" s="76">
        <v>69167328</v>
      </c>
      <c r="FS6" s="76">
        <v>99.46</v>
      </c>
      <c r="FT6" s="76">
        <v>57952</v>
      </c>
      <c r="FU6" s="77">
        <v>4</v>
      </c>
      <c r="FV6" s="37">
        <v>111.12346838986788</v>
      </c>
      <c r="FW6" s="38">
        <v>103.6671317663053</v>
      </c>
      <c r="FY6" s="75">
        <v>118484304</v>
      </c>
      <c r="FZ6" s="76">
        <v>6709021</v>
      </c>
      <c r="GA6" s="76">
        <v>111775283</v>
      </c>
      <c r="GB6" s="76">
        <v>162</v>
      </c>
      <c r="GC6" s="76">
        <v>57498</v>
      </c>
      <c r="GD6" s="77">
        <f t="shared" ref="GD6:GD49" si="0">RANK(GC6,GC$6:GC$49,0)</f>
        <v>4</v>
      </c>
      <c r="GE6" s="38"/>
      <c r="GF6" s="177">
        <v>118484304</v>
      </c>
      <c r="GG6" s="76">
        <v>6709021</v>
      </c>
      <c r="GH6" s="76">
        <v>111775283</v>
      </c>
      <c r="GI6" s="76">
        <v>162</v>
      </c>
      <c r="GJ6" s="76">
        <v>57498</v>
      </c>
      <c r="GK6" s="77">
        <f t="shared" ref="GK6:GK42" si="1">RANK(GJ6,GJ$6:GJ$49,0)</f>
        <v>5</v>
      </c>
      <c r="GL6" s="177">
        <v>117677550</v>
      </c>
      <c r="GM6" s="76">
        <v>5799886</v>
      </c>
      <c r="GN6" s="295">
        <v>111877664</v>
      </c>
      <c r="GO6" s="76">
        <v>147.33000000000001</v>
      </c>
      <c r="GP6" s="76">
        <v>63281</v>
      </c>
      <c r="GQ6" s="77">
        <f t="shared" ref="GQ6:GQ42" si="2">RANK(GP6,GP$6:GP$49,0)</f>
        <v>5</v>
      </c>
      <c r="GR6" s="37">
        <v>115.9724901831718</v>
      </c>
      <c r="GS6" s="38">
        <v>102.40099406766075</v>
      </c>
      <c r="GU6" s="75">
        <v>124634668</v>
      </c>
      <c r="GV6" s="76">
        <v>7270621</v>
      </c>
      <c r="GW6" s="76">
        <v>117364047</v>
      </c>
      <c r="GX6" s="76">
        <v>162</v>
      </c>
      <c r="GY6" s="76">
        <v>60372</v>
      </c>
      <c r="GZ6" s="77">
        <f t="shared" ref="GZ6:GZ42" si="3">RANK(GY6,GY$6:GY$49,0)</f>
        <v>5</v>
      </c>
      <c r="HA6" s="38"/>
      <c r="HB6" s="177">
        <v>124634668</v>
      </c>
      <c r="HC6" s="76">
        <v>7270621</v>
      </c>
      <c r="HD6" s="76">
        <v>117364047</v>
      </c>
      <c r="HE6" s="76">
        <v>162</v>
      </c>
      <c r="HF6" s="76">
        <v>60372</v>
      </c>
      <c r="HG6" s="77">
        <f t="shared" ref="HG6:HG42" si="4">RANK(HF6,HF$6:HF$49,0)</f>
        <v>5</v>
      </c>
      <c r="HH6" s="177">
        <v>128324691</v>
      </c>
      <c r="HI6" s="76">
        <v>6371429</v>
      </c>
      <c r="HJ6" s="295">
        <v>121953262</v>
      </c>
      <c r="HK6" s="76">
        <v>151.86000000000001</v>
      </c>
      <c r="HL6" s="76">
        <v>66922</v>
      </c>
      <c r="HM6" s="77">
        <f t="shared" ref="HM6:HM42" si="5">RANK(HL6,HL$6:HL$49,0)</f>
        <v>6</v>
      </c>
      <c r="HN6" s="37"/>
      <c r="HO6" s="38"/>
    </row>
    <row r="7" spans="1:223" ht="18" customHeight="1">
      <c r="A7" s="65">
        <v>302</v>
      </c>
      <c r="B7" s="68" t="s">
        <v>5</v>
      </c>
      <c r="C7" s="33" t="s">
        <v>6</v>
      </c>
      <c r="D7" s="41"/>
      <c r="E7" s="75">
        <v>335421000</v>
      </c>
      <c r="F7" s="76">
        <v>178759000</v>
      </c>
      <c r="G7" s="76">
        <v>156662000</v>
      </c>
      <c r="H7" s="76">
        <v>362</v>
      </c>
      <c r="I7" s="76">
        <v>36064</v>
      </c>
      <c r="J7" s="77">
        <v>9</v>
      </c>
      <c r="K7" s="38">
        <v>100</v>
      </c>
      <c r="L7" s="75">
        <v>335421000</v>
      </c>
      <c r="M7" s="76">
        <v>178759000</v>
      </c>
      <c r="N7" s="76">
        <v>156662000</v>
      </c>
      <c r="O7" s="76">
        <v>362</v>
      </c>
      <c r="P7" s="76">
        <v>36064</v>
      </c>
      <c r="Q7" s="77">
        <v>9</v>
      </c>
      <c r="R7" s="75">
        <v>345572102</v>
      </c>
      <c r="S7" s="76">
        <v>176918026</v>
      </c>
      <c r="T7" s="76">
        <v>168654076</v>
      </c>
      <c r="U7" s="76">
        <v>345</v>
      </c>
      <c r="V7" s="76">
        <v>40738</v>
      </c>
      <c r="W7" s="77">
        <v>8</v>
      </c>
      <c r="X7" s="37">
        <v>112.96029281277728</v>
      </c>
      <c r="Y7" s="38">
        <v>107.97243572753776</v>
      </c>
      <c r="AA7" s="75">
        <v>338684160</v>
      </c>
      <c r="AB7" s="76">
        <v>178888920</v>
      </c>
      <c r="AC7" s="76">
        <v>159795240</v>
      </c>
      <c r="AD7" s="76">
        <v>362</v>
      </c>
      <c r="AE7" s="76">
        <v>36785</v>
      </c>
      <c r="AF7" s="77">
        <v>9</v>
      </c>
      <c r="AG7" s="38">
        <v>101.99922360248448</v>
      </c>
      <c r="AH7" s="75">
        <v>339616299</v>
      </c>
      <c r="AI7" s="76">
        <v>178888920</v>
      </c>
      <c r="AJ7" s="76">
        <v>160727379</v>
      </c>
      <c r="AK7" s="76">
        <v>362</v>
      </c>
      <c r="AL7" s="76">
        <v>37000</v>
      </c>
      <c r="AM7" s="77">
        <v>9</v>
      </c>
      <c r="AN7" s="75">
        <v>338896154</v>
      </c>
      <c r="AO7" s="76">
        <v>160172646</v>
      </c>
      <c r="AP7" s="76">
        <v>178723508</v>
      </c>
      <c r="AQ7" s="76">
        <v>353</v>
      </c>
      <c r="AR7" s="76">
        <v>42192</v>
      </c>
      <c r="AS7" s="77">
        <v>6</v>
      </c>
      <c r="AT7" s="37">
        <v>114.03243243243244</v>
      </c>
      <c r="AU7" s="38">
        <v>103.56914919730964</v>
      </c>
      <c r="AW7" s="75">
        <v>347887868</v>
      </c>
      <c r="AX7" s="76">
        <v>180946394</v>
      </c>
      <c r="AY7" s="76">
        <v>166941474</v>
      </c>
      <c r="AZ7" s="76">
        <v>360</v>
      </c>
      <c r="BA7" s="76">
        <v>38644</v>
      </c>
      <c r="BB7" s="27">
        <v>10</v>
      </c>
      <c r="BC7" s="38">
        <v>105.05369036291967</v>
      </c>
      <c r="BD7" s="24">
        <v>360622575</v>
      </c>
      <c r="BE7" s="76">
        <v>192846394</v>
      </c>
      <c r="BF7" s="76">
        <v>167776181</v>
      </c>
      <c r="BG7" s="76">
        <v>360</v>
      </c>
      <c r="BH7" s="14">
        <v>38837</v>
      </c>
      <c r="BI7" s="27">
        <v>10</v>
      </c>
      <c r="BJ7" s="24">
        <v>368431657</v>
      </c>
      <c r="BK7" s="76">
        <v>177659487</v>
      </c>
      <c r="BL7" s="76">
        <v>190772170</v>
      </c>
      <c r="BM7" s="76">
        <v>354</v>
      </c>
      <c r="BN7" s="14">
        <v>44909</v>
      </c>
      <c r="BO7" s="27">
        <v>4</v>
      </c>
      <c r="BP7" s="37">
        <v>115.63457527615417</v>
      </c>
      <c r="BQ7" s="38">
        <v>106.43960940462647</v>
      </c>
      <c r="BS7" s="24">
        <v>379040833</v>
      </c>
      <c r="BT7" s="76">
        <v>207091115</v>
      </c>
      <c r="BU7" s="76">
        <v>171949718</v>
      </c>
      <c r="BV7" s="76">
        <v>360</v>
      </c>
      <c r="BW7" s="14">
        <v>39803</v>
      </c>
      <c r="BX7" s="27">
        <v>10</v>
      </c>
      <c r="BY7" s="26">
        <v>102.99917192837181</v>
      </c>
      <c r="BZ7" s="24">
        <v>380473747</v>
      </c>
      <c r="CA7" s="76">
        <v>207091115</v>
      </c>
      <c r="CB7" s="76">
        <v>173382632</v>
      </c>
      <c r="CC7" s="76">
        <v>360</v>
      </c>
      <c r="CD7" s="14">
        <v>40135</v>
      </c>
      <c r="CE7" s="77">
        <v>10</v>
      </c>
      <c r="CF7" s="24">
        <v>380265838</v>
      </c>
      <c r="CG7" s="76">
        <v>191702295</v>
      </c>
      <c r="CH7" s="76">
        <v>188563543</v>
      </c>
      <c r="CI7" s="76">
        <v>355</v>
      </c>
      <c r="CJ7" s="14">
        <v>44264</v>
      </c>
      <c r="CK7" s="77">
        <v>6</v>
      </c>
      <c r="CL7" s="37">
        <v>110.2877787467298</v>
      </c>
      <c r="CM7" s="38">
        <v>98.563762274822423</v>
      </c>
      <c r="CO7" s="75">
        <v>407613030</v>
      </c>
      <c r="CP7" s="76">
        <v>227065826</v>
      </c>
      <c r="CQ7" s="76">
        <v>180547204</v>
      </c>
      <c r="CR7" s="76">
        <v>360</v>
      </c>
      <c r="CS7" s="76">
        <v>41793</v>
      </c>
      <c r="CT7" s="45">
        <v>12</v>
      </c>
      <c r="CU7" s="26">
        <v>104.99962314398412</v>
      </c>
      <c r="CV7" s="75">
        <v>410321238</v>
      </c>
      <c r="CW7" s="76">
        <v>227065826</v>
      </c>
      <c r="CX7" s="76">
        <v>183255412</v>
      </c>
      <c r="CY7" s="76">
        <v>360</v>
      </c>
      <c r="CZ7" s="76">
        <v>42420</v>
      </c>
      <c r="DA7" s="77">
        <v>13</v>
      </c>
      <c r="DB7" s="24">
        <v>403012156</v>
      </c>
      <c r="DC7" s="76">
        <v>204242119</v>
      </c>
      <c r="DD7" s="76">
        <v>198770037</v>
      </c>
      <c r="DE7" s="76">
        <v>353</v>
      </c>
      <c r="DF7" s="14">
        <v>46924</v>
      </c>
      <c r="DG7" s="77">
        <v>10</v>
      </c>
      <c r="DH7" s="37">
        <v>110.61763319189062</v>
      </c>
      <c r="DI7" s="38">
        <v>106.00939815651545</v>
      </c>
      <c r="DK7" s="24">
        <v>487422689</v>
      </c>
      <c r="DL7" s="76">
        <v>290626237</v>
      </c>
      <c r="DM7" s="76">
        <v>196796452</v>
      </c>
      <c r="DN7" s="76">
        <v>360</v>
      </c>
      <c r="DO7" s="14">
        <v>45555</v>
      </c>
      <c r="DP7" s="77">
        <v>13</v>
      </c>
      <c r="DQ7" s="26">
        <v>109.00150742947383</v>
      </c>
      <c r="DR7" s="24">
        <v>487422689</v>
      </c>
      <c r="DS7" s="76">
        <v>290626237</v>
      </c>
      <c r="DT7" s="76">
        <v>196796452</v>
      </c>
      <c r="DU7" s="76">
        <v>360</v>
      </c>
      <c r="DV7" s="14">
        <v>45555</v>
      </c>
      <c r="DW7" s="77">
        <v>15</v>
      </c>
      <c r="DX7" s="24">
        <v>495413607</v>
      </c>
      <c r="DY7" s="76">
        <v>276653678</v>
      </c>
      <c r="DZ7" s="76">
        <v>218759929</v>
      </c>
      <c r="EA7" s="76">
        <v>355.87</v>
      </c>
      <c r="EB7" s="14">
        <v>51227</v>
      </c>
      <c r="EC7" s="77">
        <v>10</v>
      </c>
      <c r="ED7" s="37">
        <v>112.45088354736032</v>
      </c>
      <c r="EE7" s="38">
        <v>109.17014747250873</v>
      </c>
      <c r="EG7" s="24">
        <v>468978598</v>
      </c>
      <c r="EH7" s="76">
        <v>258214359</v>
      </c>
      <c r="EI7" s="76">
        <v>210764239</v>
      </c>
      <c r="EJ7" s="76">
        <v>360</v>
      </c>
      <c r="EK7" s="14">
        <v>48788</v>
      </c>
      <c r="EL7" s="77">
        <v>10</v>
      </c>
      <c r="EM7" s="26">
        <v>107.09691581604655</v>
      </c>
      <c r="EN7" s="24">
        <v>468978598</v>
      </c>
      <c r="EO7" s="76">
        <v>258214359</v>
      </c>
      <c r="EP7" s="76">
        <v>210764239</v>
      </c>
      <c r="EQ7" s="76">
        <v>360</v>
      </c>
      <c r="ER7" s="14">
        <v>48788</v>
      </c>
      <c r="ES7" s="77">
        <v>12</v>
      </c>
      <c r="ET7" s="24">
        <v>470627168</v>
      </c>
      <c r="EU7" s="76">
        <v>246867207</v>
      </c>
      <c r="EV7" s="76">
        <v>223759961</v>
      </c>
      <c r="EW7" s="76">
        <v>353.6</v>
      </c>
      <c r="EX7" s="14">
        <v>52734</v>
      </c>
      <c r="EY7" s="27">
        <v>9</v>
      </c>
      <c r="EZ7" s="37">
        <v>108.08805443961631</v>
      </c>
      <c r="FA7" s="38">
        <v>102.94180803092119</v>
      </c>
      <c r="FC7" s="24">
        <v>501166798</v>
      </c>
      <c r="FD7" s="76">
        <v>283922559</v>
      </c>
      <c r="FE7" s="76">
        <v>217244239</v>
      </c>
      <c r="FF7" s="76">
        <v>360</v>
      </c>
      <c r="FG7" s="14">
        <v>50288</v>
      </c>
      <c r="FH7" s="77">
        <v>15</v>
      </c>
      <c r="FI7" s="26">
        <v>103.07452652291546</v>
      </c>
      <c r="FJ7" s="24">
        <v>501166798</v>
      </c>
      <c r="FK7" s="76">
        <v>283922559</v>
      </c>
      <c r="FL7" s="76">
        <v>217244239</v>
      </c>
      <c r="FM7" s="76">
        <v>360</v>
      </c>
      <c r="FN7" s="14">
        <v>50288</v>
      </c>
      <c r="FO7" s="77">
        <v>13</v>
      </c>
      <c r="FP7" s="24">
        <v>488235422</v>
      </c>
      <c r="FQ7" s="76">
        <v>267835242</v>
      </c>
      <c r="FR7" s="76">
        <v>220400180</v>
      </c>
      <c r="FS7" s="76">
        <v>347.98</v>
      </c>
      <c r="FT7" s="14">
        <v>52781</v>
      </c>
      <c r="FU7" s="77">
        <v>15</v>
      </c>
      <c r="FV7" s="37">
        <v>104.95744511613108</v>
      </c>
      <c r="FW7" s="38">
        <v>100.0891265597148</v>
      </c>
      <c r="FY7" s="75">
        <v>552557633</v>
      </c>
      <c r="FZ7" s="76">
        <v>320950304</v>
      </c>
      <c r="GA7" s="76">
        <v>231607329</v>
      </c>
      <c r="GB7" s="76">
        <v>360</v>
      </c>
      <c r="GC7" s="76">
        <v>53613</v>
      </c>
      <c r="GD7" s="77">
        <f t="shared" si="0"/>
        <v>12</v>
      </c>
      <c r="GE7" s="26"/>
      <c r="GF7" s="39">
        <v>543589023</v>
      </c>
      <c r="GG7" s="76">
        <v>311981694</v>
      </c>
      <c r="GH7" s="76">
        <v>231607329</v>
      </c>
      <c r="GI7" s="76">
        <v>360</v>
      </c>
      <c r="GJ7" s="14">
        <v>53613</v>
      </c>
      <c r="GK7" s="77">
        <f t="shared" si="1"/>
        <v>14</v>
      </c>
      <c r="GL7" s="39">
        <v>542209624</v>
      </c>
      <c r="GM7" s="76">
        <v>295407844</v>
      </c>
      <c r="GN7" s="295">
        <v>246801780</v>
      </c>
      <c r="GO7" s="76">
        <v>350.18</v>
      </c>
      <c r="GP7" s="14">
        <v>58732</v>
      </c>
      <c r="GQ7" s="77">
        <f t="shared" si="2"/>
        <v>10</v>
      </c>
      <c r="GR7" s="37">
        <v>110.61763319189062</v>
      </c>
      <c r="GS7" s="38">
        <v>106.00939815651545</v>
      </c>
      <c r="GU7" s="75">
        <v>608771243</v>
      </c>
      <c r="GV7" s="76">
        <v>365583548</v>
      </c>
      <c r="GW7" s="76">
        <v>243187695</v>
      </c>
      <c r="GX7" s="76">
        <v>360</v>
      </c>
      <c r="GY7" s="76">
        <v>56293</v>
      </c>
      <c r="GZ7" s="77">
        <f t="shared" si="3"/>
        <v>10</v>
      </c>
      <c r="HA7" s="26"/>
      <c r="HB7" s="39">
        <v>608771243</v>
      </c>
      <c r="HC7" s="76">
        <v>350583548</v>
      </c>
      <c r="HD7" s="76">
        <v>258187695</v>
      </c>
      <c r="HE7" s="76">
        <v>360</v>
      </c>
      <c r="HF7" s="14">
        <v>59766</v>
      </c>
      <c r="HG7" s="77">
        <f t="shared" si="4"/>
        <v>6</v>
      </c>
      <c r="HH7" s="39">
        <v>588409387</v>
      </c>
      <c r="HI7" s="76">
        <v>315948518</v>
      </c>
      <c r="HJ7" s="295">
        <v>272460869</v>
      </c>
      <c r="HK7" s="76">
        <v>353.85</v>
      </c>
      <c r="HL7" s="14">
        <v>64166</v>
      </c>
      <c r="HM7" s="77">
        <f t="shared" si="5"/>
        <v>10</v>
      </c>
      <c r="HN7" s="37"/>
      <c r="HO7" s="38"/>
    </row>
    <row r="8" spans="1:223" ht="18" customHeight="1">
      <c r="A8" s="65">
        <v>303</v>
      </c>
      <c r="B8" s="68" t="s">
        <v>7</v>
      </c>
      <c r="C8" s="33" t="s">
        <v>8</v>
      </c>
      <c r="D8" s="41"/>
      <c r="E8" s="75">
        <v>158199000</v>
      </c>
      <c r="F8" s="76">
        <v>71500000</v>
      </c>
      <c r="G8" s="76">
        <v>86699000</v>
      </c>
      <c r="H8" s="76">
        <v>216</v>
      </c>
      <c r="I8" s="76">
        <v>33449</v>
      </c>
      <c r="J8" s="77">
        <v>15</v>
      </c>
      <c r="K8" s="38">
        <v>100</v>
      </c>
      <c r="L8" s="75">
        <v>158199000</v>
      </c>
      <c r="M8" s="76">
        <v>71500000</v>
      </c>
      <c r="N8" s="76">
        <v>86699000</v>
      </c>
      <c r="O8" s="76">
        <v>216</v>
      </c>
      <c r="P8" s="76">
        <v>33449</v>
      </c>
      <c r="Q8" s="77">
        <v>16</v>
      </c>
      <c r="R8" s="75">
        <v>159719480</v>
      </c>
      <c r="S8" s="76">
        <v>73105351</v>
      </c>
      <c r="T8" s="76">
        <v>86614129</v>
      </c>
      <c r="U8" s="76">
        <v>192</v>
      </c>
      <c r="V8" s="76">
        <v>37593</v>
      </c>
      <c r="W8" s="77">
        <v>13</v>
      </c>
      <c r="X8" s="37">
        <v>112.38901013483213</v>
      </c>
      <c r="Y8" s="38">
        <v>101.4738035468459</v>
      </c>
      <c r="AA8" s="75">
        <v>170562980</v>
      </c>
      <c r="AB8" s="76">
        <v>82130000</v>
      </c>
      <c r="AC8" s="76">
        <v>88432980</v>
      </c>
      <c r="AD8" s="76">
        <v>216</v>
      </c>
      <c r="AE8" s="76">
        <v>34118</v>
      </c>
      <c r="AF8" s="77">
        <v>16</v>
      </c>
      <c r="AG8" s="38">
        <v>102.00005979251996</v>
      </c>
      <c r="AH8" s="75">
        <v>171078839</v>
      </c>
      <c r="AI8" s="76">
        <v>82130000</v>
      </c>
      <c r="AJ8" s="76">
        <v>88948839</v>
      </c>
      <c r="AK8" s="76">
        <v>216</v>
      </c>
      <c r="AL8" s="76">
        <v>34317</v>
      </c>
      <c r="AM8" s="77">
        <v>16</v>
      </c>
      <c r="AN8" s="75">
        <v>160779849</v>
      </c>
      <c r="AO8" s="76">
        <v>71850428</v>
      </c>
      <c r="AP8" s="76">
        <v>88929421</v>
      </c>
      <c r="AQ8" s="76">
        <v>190</v>
      </c>
      <c r="AR8" s="76">
        <v>39004</v>
      </c>
      <c r="AS8" s="77">
        <v>10</v>
      </c>
      <c r="AT8" s="37">
        <v>113.65795378383892</v>
      </c>
      <c r="AU8" s="38">
        <v>103.75335833798846</v>
      </c>
      <c r="AW8" s="75">
        <v>163918054</v>
      </c>
      <c r="AX8" s="76">
        <v>72307303</v>
      </c>
      <c r="AY8" s="76">
        <v>91610751</v>
      </c>
      <c r="AZ8" s="76">
        <v>213</v>
      </c>
      <c r="BA8" s="76">
        <v>35841</v>
      </c>
      <c r="BB8" s="27">
        <v>17</v>
      </c>
      <c r="BC8" s="38">
        <v>105.05012017117063</v>
      </c>
      <c r="BD8" s="24">
        <v>164376108</v>
      </c>
      <c r="BE8" s="76">
        <v>72307303</v>
      </c>
      <c r="BF8" s="76">
        <v>92068805</v>
      </c>
      <c r="BG8" s="76">
        <v>213</v>
      </c>
      <c r="BH8" s="14">
        <v>36021</v>
      </c>
      <c r="BI8" s="27">
        <v>17</v>
      </c>
      <c r="BJ8" s="24">
        <v>171511858</v>
      </c>
      <c r="BK8" s="76">
        <v>79443929</v>
      </c>
      <c r="BL8" s="76">
        <v>92067929</v>
      </c>
      <c r="BM8" s="76">
        <v>191</v>
      </c>
      <c r="BN8" s="14">
        <v>40169</v>
      </c>
      <c r="BO8" s="27">
        <v>10</v>
      </c>
      <c r="BP8" s="37">
        <v>111.51550484439632</v>
      </c>
      <c r="BQ8" s="38">
        <v>102.98687314121628</v>
      </c>
      <c r="BS8" s="24">
        <v>188714596</v>
      </c>
      <c r="BT8" s="76">
        <v>94355522</v>
      </c>
      <c r="BU8" s="76">
        <v>94359074</v>
      </c>
      <c r="BV8" s="76">
        <v>213</v>
      </c>
      <c r="BW8" s="14">
        <v>36917</v>
      </c>
      <c r="BX8" s="27">
        <v>20</v>
      </c>
      <c r="BY8" s="26">
        <v>103.00214837755644</v>
      </c>
      <c r="BZ8" s="24">
        <v>189500922</v>
      </c>
      <c r="CA8" s="76">
        <v>94355522</v>
      </c>
      <c r="CB8" s="76">
        <v>95145400</v>
      </c>
      <c r="CC8" s="76">
        <v>213</v>
      </c>
      <c r="CD8" s="14">
        <v>37224</v>
      </c>
      <c r="CE8" s="77">
        <v>19</v>
      </c>
      <c r="CF8" s="24">
        <v>177689439</v>
      </c>
      <c r="CG8" s="76">
        <v>82583917</v>
      </c>
      <c r="CH8" s="76">
        <v>95105522</v>
      </c>
      <c r="CI8" s="76">
        <v>191.44</v>
      </c>
      <c r="CJ8" s="14">
        <v>41399</v>
      </c>
      <c r="CK8" s="77">
        <v>14</v>
      </c>
      <c r="CL8" s="37">
        <v>111.21588222652052</v>
      </c>
      <c r="CM8" s="38">
        <v>103.06206278473449</v>
      </c>
      <c r="CO8" s="75">
        <v>187635350</v>
      </c>
      <c r="CP8" s="76">
        <v>88558322</v>
      </c>
      <c r="CQ8" s="76">
        <v>99077028</v>
      </c>
      <c r="CR8" s="76">
        <v>213</v>
      </c>
      <c r="CS8" s="76">
        <v>38763</v>
      </c>
      <c r="CT8" s="45">
        <v>21</v>
      </c>
      <c r="CU8" s="26">
        <v>105.000406316873</v>
      </c>
      <c r="CV8" s="75">
        <v>189121505</v>
      </c>
      <c r="CW8" s="76">
        <v>88558322</v>
      </c>
      <c r="CX8" s="76">
        <v>100563183</v>
      </c>
      <c r="CY8" s="76">
        <v>213</v>
      </c>
      <c r="CZ8" s="76">
        <v>39344</v>
      </c>
      <c r="DA8" s="77">
        <v>24</v>
      </c>
      <c r="DB8" s="24">
        <v>193838081</v>
      </c>
      <c r="DC8" s="76">
        <v>93286022</v>
      </c>
      <c r="DD8" s="76">
        <v>100552059</v>
      </c>
      <c r="DE8" s="76">
        <v>191</v>
      </c>
      <c r="DF8" s="14">
        <v>43871</v>
      </c>
      <c r="DG8" s="77">
        <v>19</v>
      </c>
      <c r="DH8" s="37">
        <v>111.50620170801137</v>
      </c>
      <c r="DI8" s="38">
        <v>105.97115872364067</v>
      </c>
      <c r="DK8" s="24">
        <v>214825783</v>
      </c>
      <c r="DL8" s="76">
        <v>106831822</v>
      </c>
      <c r="DM8" s="76">
        <v>107993961</v>
      </c>
      <c r="DN8" s="76">
        <v>213</v>
      </c>
      <c r="DO8" s="14">
        <v>42251</v>
      </c>
      <c r="DP8" s="77">
        <v>19</v>
      </c>
      <c r="DQ8" s="26">
        <v>108.99827154760983</v>
      </c>
      <c r="DR8" s="24">
        <v>214825783</v>
      </c>
      <c r="DS8" s="76">
        <v>106831822</v>
      </c>
      <c r="DT8" s="76">
        <v>107993961</v>
      </c>
      <c r="DU8" s="76">
        <v>213</v>
      </c>
      <c r="DV8" s="14">
        <v>42251</v>
      </c>
      <c r="DW8" s="77">
        <v>21</v>
      </c>
      <c r="DX8" s="24">
        <v>204066509</v>
      </c>
      <c r="DY8" s="76">
        <v>96083414</v>
      </c>
      <c r="DZ8" s="76">
        <v>107983095</v>
      </c>
      <c r="EA8" s="76">
        <v>189.66</v>
      </c>
      <c r="EB8" s="14">
        <v>47446</v>
      </c>
      <c r="EC8" s="77">
        <v>19</v>
      </c>
      <c r="ED8" s="37">
        <v>112.29556696882914</v>
      </c>
      <c r="EE8" s="38">
        <v>108.14889106699187</v>
      </c>
      <c r="EG8" s="24">
        <v>218379921</v>
      </c>
      <c r="EH8" s="76">
        <v>102628322</v>
      </c>
      <c r="EI8" s="76">
        <v>115751599</v>
      </c>
      <c r="EJ8" s="76">
        <v>213</v>
      </c>
      <c r="EK8" s="14">
        <v>45286</v>
      </c>
      <c r="EL8" s="77">
        <v>17</v>
      </c>
      <c r="EM8" s="26">
        <v>107.18326193462877</v>
      </c>
      <c r="EN8" s="24">
        <v>218379921</v>
      </c>
      <c r="EO8" s="76">
        <v>102628322</v>
      </c>
      <c r="EP8" s="76">
        <v>115751599</v>
      </c>
      <c r="EQ8" s="76">
        <v>213</v>
      </c>
      <c r="ER8" s="14">
        <v>45286</v>
      </c>
      <c r="ES8" s="77">
        <v>18</v>
      </c>
      <c r="ET8" s="24">
        <v>227176041</v>
      </c>
      <c r="EU8" s="76">
        <v>111434216</v>
      </c>
      <c r="EV8" s="76">
        <v>115741825</v>
      </c>
      <c r="EW8" s="76">
        <v>191.46</v>
      </c>
      <c r="EX8" s="14">
        <v>50377</v>
      </c>
      <c r="EY8" s="27">
        <v>18</v>
      </c>
      <c r="EZ8" s="37">
        <v>111.24188490924347</v>
      </c>
      <c r="FA8" s="38">
        <v>106.17754921384311</v>
      </c>
      <c r="FC8" s="24">
        <v>236171121</v>
      </c>
      <c r="FD8" s="76">
        <v>116585522</v>
      </c>
      <c r="FE8" s="76">
        <v>119585599</v>
      </c>
      <c r="FF8" s="76">
        <v>213</v>
      </c>
      <c r="FG8" s="14">
        <v>46786</v>
      </c>
      <c r="FH8" s="77">
        <v>20</v>
      </c>
      <c r="FI8" s="26">
        <v>103.31228194143887</v>
      </c>
      <c r="FJ8" s="24">
        <v>236171121</v>
      </c>
      <c r="FK8" s="76">
        <v>116585522</v>
      </c>
      <c r="FL8" s="76">
        <v>119585599</v>
      </c>
      <c r="FM8" s="76">
        <v>213</v>
      </c>
      <c r="FN8" s="14">
        <v>46786</v>
      </c>
      <c r="FO8" s="77">
        <v>19</v>
      </c>
      <c r="FP8" s="24">
        <v>233975968</v>
      </c>
      <c r="FQ8" s="76">
        <v>114394310</v>
      </c>
      <c r="FR8" s="76">
        <v>119581658</v>
      </c>
      <c r="FS8" s="76">
        <v>189.39</v>
      </c>
      <c r="FT8" s="14">
        <v>52617</v>
      </c>
      <c r="FU8" s="77">
        <v>16</v>
      </c>
      <c r="FV8" s="37">
        <v>112.46312999615269</v>
      </c>
      <c r="FW8" s="38">
        <v>104.4464735891379</v>
      </c>
      <c r="FY8" s="75">
        <v>269729032</v>
      </c>
      <c r="FZ8" s="76">
        <v>147988022</v>
      </c>
      <c r="GA8" s="76">
        <v>121741010</v>
      </c>
      <c r="GB8" s="76">
        <v>203</v>
      </c>
      <c r="GC8" s="76">
        <v>49976</v>
      </c>
      <c r="GD8" s="77">
        <f t="shared" si="0"/>
        <v>23</v>
      </c>
      <c r="GE8" s="26"/>
      <c r="GF8" s="39">
        <v>269729032</v>
      </c>
      <c r="GG8" s="76">
        <v>147988022</v>
      </c>
      <c r="GH8" s="76">
        <v>121741010</v>
      </c>
      <c r="GI8" s="76">
        <v>203</v>
      </c>
      <c r="GJ8" s="14">
        <v>49976</v>
      </c>
      <c r="GK8" s="77">
        <f t="shared" si="1"/>
        <v>24</v>
      </c>
      <c r="GL8" s="39">
        <v>257044581</v>
      </c>
      <c r="GM8" s="76">
        <v>129848776</v>
      </c>
      <c r="GN8" s="295">
        <v>127195805</v>
      </c>
      <c r="GO8" s="76">
        <v>192.12</v>
      </c>
      <c r="GP8" s="14">
        <v>55172</v>
      </c>
      <c r="GQ8" s="77">
        <f t="shared" si="2"/>
        <v>20</v>
      </c>
      <c r="GR8" s="37">
        <v>111.50620170801137</v>
      </c>
      <c r="GS8" s="38">
        <v>105.97115872364067</v>
      </c>
      <c r="GU8" s="75">
        <v>285727130</v>
      </c>
      <c r="GV8" s="76">
        <v>149499069</v>
      </c>
      <c r="GW8" s="76">
        <v>136228061</v>
      </c>
      <c r="GX8" s="76">
        <v>203</v>
      </c>
      <c r="GY8" s="76">
        <v>55923</v>
      </c>
      <c r="GZ8" s="77">
        <f t="shared" si="3"/>
        <v>14</v>
      </c>
      <c r="HA8" s="26"/>
      <c r="HB8" s="39">
        <v>285727130</v>
      </c>
      <c r="HC8" s="76">
        <v>149499069</v>
      </c>
      <c r="HD8" s="76">
        <v>136228061</v>
      </c>
      <c r="HE8" s="76">
        <v>203</v>
      </c>
      <c r="HF8" s="14">
        <v>55923</v>
      </c>
      <c r="HG8" s="77">
        <f t="shared" si="4"/>
        <v>18</v>
      </c>
      <c r="HH8" s="39">
        <v>288969406</v>
      </c>
      <c r="HI8" s="76">
        <v>148353620</v>
      </c>
      <c r="HJ8" s="295">
        <v>140615786</v>
      </c>
      <c r="HK8" s="76">
        <v>191.55</v>
      </c>
      <c r="HL8" s="14">
        <v>61175</v>
      </c>
      <c r="HM8" s="77">
        <f t="shared" si="5"/>
        <v>13</v>
      </c>
      <c r="HN8" s="37"/>
      <c r="HO8" s="38"/>
    </row>
    <row r="9" spans="1:223" ht="18" customHeight="1">
      <c r="A9" s="65">
        <v>304</v>
      </c>
      <c r="B9" s="68" t="s">
        <v>9</v>
      </c>
      <c r="C9" s="33" t="s">
        <v>10</v>
      </c>
      <c r="D9" s="41"/>
      <c r="E9" s="75">
        <v>247595000</v>
      </c>
      <c r="F9" s="76">
        <v>36904000</v>
      </c>
      <c r="G9" s="76">
        <v>210691000</v>
      </c>
      <c r="H9" s="76">
        <v>534</v>
      </c>
      <c r="I9" s="76">
        <v>32879</v>
      </c>
      <c r="J9" s="77">
        <v>17</v>
      </c>
      <c r="K9" s="38">
        <v>101.13503537373117</v>
      </c>
      <c r="L9" s="75">
        <v>264426961</v>
      </c>
      <c r="M9" s="76">
        <v>45146938</v>
      </c>
      <c r="N9" s="76">
        <v>219280023</v>
      </c>
      <c r="O9" s="76">
        <v>534</v>
      </c>
      <c r="P9" s="76">
        <v>34220</v>
      </c>
      <c r="Q9" s="77">
        <v>13</v>
      </c>
      <c r="R9" s="75">
        <v>258697756</v>
      </c>
      <c r="S9" s="76">
        <v>39539642</v>
      </c>
      <c r="T9" s="76">
        <v>219158114</v>
      </c>
      <c r="U9" s="76">
        <v>433</v>
      </c>
      <c r="V9" s="76">
        <v>42178</v>
      </c>
      <c r="W9" s="77">
        <v>4</v>
      </c>
      <c r="X9" s="37">
        <v>123.25540619520747</v>
      </c>
      <c r="Y9" s="38">
        <v>103.41547137427976</v>
      </c>
      <c r="AA9" s="75">
        <v>263583620</v>
      </c>
      <c r="AB9" s="76">
        <v>41780832</v>
      </c>
      <c r="AC9" s="76">
        <v>221802788</v>
      </c>
      <c r="AD9" s="76">
        <v>533</v>
      </c>
      <c r="AE9" s="76">
        <v>34678</v>
      </c>
      <c r="AF9" s="77">
        <v>14</v>
      </c>
      <c r="AG9" s="38">
        <v>105.47157760272515</v>
      </c>
      <c r="AH9" s="75">
        <v>286126349</v>
      </c>
      <c r="AI9" s="76">
        <v>43753789</v>
      </c>
      <c r="AJ9" s="76">
        <v>242372560</v>
      </c>
      <c r="AK9" s="76">
        <v>572</v>
      </c>
      <c r="AL9" s="76">
        <v>35311</v>
      </c>
      <c r="AM9" s="77">
        <v>14</v>
      </c>
      <c r="AN9" s="75">
        <v>307139297</v>
      </c>
      <c r="AO9" s="76">
        <v>51799948</v>
      </c>
      <c r="AP9" s="76">
        <v>255339349</v>
      </c>
      <c r="AQ9" s="76">
        <v>528</v>
      </c>
      <c r="AR9" s="76">
        <v>40300</v>
      </c>
      <c r="AS9" s="77">
        <v>9</v>
      </c>
      <c r="AT9" s="37">
        <v>114.12874175186202</v>
      </c>
      <c r="AU9" s="38">
        <v>95.54744179430034</v>
      </c>
      <c r="AW9" s="75">
        <v>318762637</v>
      </c>
      <c r="AX9" s="76">
        <v>42382535</v>
      </c>
      <c r="AY9" s="76">
        <v>276380102</v>
      </c>
      <c r="AZ9" s="76">
        <v>576</v>
      </c>
      <c r="BA9" s="76">
        <v>39986</v>
      </c>
      <c r="BB9" s="27">
        <v>9</v>
      </c>
      <c r="BC9" s="38">
        <v>115.30653440221465</v>
      </c>
      <c r="BD9" s="24">
        <v>328906443</v>
      </c>
      <c r="BE9" s="76">
        <v>46904370</v>
      </c>
      <c r="BF9" s="76">
        <v>282002073</v>
      </c>
      <c r="BG9" s="76">
        <v>585</v>
      </c>
      <c r="BH9" s="14">
        <v>40171</v>
      </c>
      <c r="BI9" s="27">
        <v>9</v>
      </c>
      <c r="BJ9" s="24">
        <v>331608710</v>
      </c>
      <c r="BK9" s="76">
        <v>45987896</v>
      </c>
      <c r="BL9" s="76">
        <v>285620814</v>
      </c>
      <c r="BM9" s="76">
        <v>555</v>
      </c>
      <c r="BN9" s="14">
        <v>42886</v>
      </c>
      <c r="BO9" s="27">
        <v>7</v>
      </c>
      <c r="BP9" s="37">
        <v>106.75860695526625</v>
      </c>
      <c r="BQ9" s="38">
        <v>106.41687344913151</v>
      </c>
      <c r="BS9" s="24">
        <v>404562528</v>
      </c>
      <c r="BT9" s="76">
        <v>60609197</v>
      </c>
      <c r="BU9" s="76">
        <v>343953331</v>
      </c>
      <c r="BV9" s="76">
        <v>692</v>
      </c>
      <c r="BW9" s="14">
        <v>41420</v>
      </c>
      <c r="BX9" s="27">
        <v>8</v>
      </c>
      <c r="BY9" s="26">
        <v>103.58625518931626</v>
      </c>
      <c r="BZ9" s="24">
        <v>421338237</v>
      </c>
      <c r="CA9" s="76">
        <v>60173227</v>
      </c>
      <c r="CB9" s="76">
        <v>361165010</v>
      </c>
      <c r="CC9" s="76">
        <v>730</v>
      </c>
      <c r="CD9" s="14">
        <v>41229</v>
      </c>
      <c r="CE9" s="77">
        <v>8</v>
      </c>
      <c r="CF9" s="24">
        <v>394668136</v>
      </c>
      <c r="CG9" s="76">
        <v>69054585</v>
      </c>
      <c r="CH9" s="76">
        <v>325613551</v>
      </c>
      <c r="CI9" s="76">
        <v>621</v>
      </c>
      <c r="CJ9" s="14">
        <v>43695</v>
      </c>
      <c r="CK9" s="77">
        <v>7</v>
      </c>
      <c r="CL9" s="37">
        <v>105.98122680637417</v>
      </c>
      <c r="CM9" s="38">
        <v>101.88639649302802</v>
      </c>
      <c r="CO9" s="75">
        <v>474196605</v>
      </c>
      <c r="CP9" s="76">
        <v>76043353</v>
      </c>
      <c r="CQ9" s="76">
        <v>398153252</v>
      </c>
      <c r="CR9" s="76">
        <v>768.2</v>
      </c>
      <c r="CS9" s="76">
        <v>43191</v>
      </c>
      <c r="CT9" s="45">
        <v>8</v>
      </c>
      <c r="CU9" s="26">
        <v>104.27571221632061</v>
      </c>
      <c r="CV9" s="75">
        <v>494377440</v>
      </c>
      <c r="CW9" s="76">
        <v>91255853</v>
      </c>
      <c r="CX9" s="76">
        <v>403121587</v>
      </c>
      <c r="CY9" s="76">
        <v>768.2</v>
      </c>
      <c r="CZ9" s="76">
        <v>43730</v>
      </c>
      <c r="DA9" s="77">
        <v>9</v>
      </c>
      <c r="DB9" s="24">
        <v>442127703</v>
      </c>
      <c r="DC9" s="76">
        <v>73998098</v>
      </c>
      <c r="DD9" s="76">
        <v>368129605</v>
      </c>
      <c r="DE9" s="76">
        <v>673</v>
      </c>
      <c r="DF9" s="14">
        <v>45583</v>
      </c>
      <c r="DG9" s="77">
        <v>17</v>
      </c>
      <c r="DH9" s="37">
        <v>104.23736565286987</v>
      </c>
      <c r="DI9" s="38">
        <v>104.32086051035587</v>
      </c>
      <c r="DK9" s="24">
        <v>482777759</v>
      </c>
      <c r="DL9" s="76">
        <v>76059898</v>
      </c>
      <c r="DM9" s="76">
        <v>406717861</v>
      </c>
      <c r="DN9" s="76">
        <v>764.45</v>
      </c>
      <c r="DO9" s="14">
        <v>44337</v>
      </c>
      <c r="DP9" s="77">
        <v>14</v>
      </c>
      <c r="DQ9" s="26">
        <v>102.65333055497675</v>
      </c>
      <c r="DR9" s="24">
        <v>477870534</v>
      </c>
      <c r="DS9" s="76">
        <v>94118465</v>
      </c>
      <c r="DT9" s="76">
        <v>383752069</v>
      </c>
      <c r="DU9" s="76">
        <v>700</v>
      </c>
      <c r="DV9" s="14">
        <v>45685</v>
      </c>
      <c r="DW9" s="77">
        <v>14</v>
      </c>
      <c r="DX9" s="24">
        <v>426435335</v>
      </c>
      <c r="DY9" s="76">
        <v>65504509</v>
      </c>
      <c r="DZ9" s="76">
        <v>360930826</v>
      </c>
      <c r="EA9" s="76">
        <v>630.01</v>
      </c>
      <c r="EB9" s="14">
        <v>47741</v>
      </c>
      <c r="EC9" s="77">
        <v>18</v>
      </c>
      <c r="ED9" s="37">
        <v>104.50038305789646</v>
      </c>
      <c r="EE9" s="38">
        <v>104.73422109119628</v>
      </c>
      <c r="EG9" s="24">
        <v>454444961</v>
      </c>
      <c r="EH9" s="76">
        <v>68534439</v>
      </c>
      <c r="EI9" s="76">
        <v>385910522</v>
      </c>
      <c r="EJ9" s="76">
        <v>637</v>
      </c>
      <c r="EK9" s="14">
        <v>50485</v>
      </c>
      <c r="EL9" s="77">
        <v>7</v>
      </c>
      <c r="EM9" s="26">
        <v>113.86652231770304</v>
      </c>
      <c r="EN9" s="24">
        <v>429110328</v>
      </c>
      <c r="EO9" s="76">
        <v>49126939</v>
      </c>
      <c r="EP9" s="76">
        <v>379983389</v>
      </c>
      <c r="EQ9" s="76">
        <v>629.82999999999993</v>
      </c>
      <c r="ER9" s="14">
        <v>50276</v>
      </c>
      <c r="ES9" s="77">
        <v>9</v>
      </c>
      <c r="ET9" s="24">
        <v>436227165</v>
      </c>
      <c r="EU9" s="76">
        <v>76852755</v>
      </c>
      <c r="EV9" s="76">
        <v>359374410</v>
      </c>
      <c r="EW9" s="76">
        <v>580.93000000000006</v>
      </c>
      <c r="EX9" s="14">
        <v>51552</v>
      </c>
      <c r="EY9" s="27">
        <v>13</v>
      </c>
      <c r="EZ9" s="37">
        <v>102.53799029357944</v>
      </c>
      <c r="FA9" s="38">
        <v>107.98265641691627</v>
      </c>
      <c r="FC9" s="24">
        <v>384824392</v>
      </c>
      <c r="FD9" s="76">
        <v>58535863</v>
      </c>
      <c r="FE9" s="76">
        <v>326288529</v>
      </c>
      <c r="FF9" s="76">
        <v>500.2</v>
      </c>
      <c r="FG9" s="14">
        <v>54360</v>
      </c>
      <c r="FH9" s="77">
        <v>5</v>
      </c>
      <c r="FI9" s="26">
        <v>107.67554719223531</v>
      </c>
      <c r="FJ9" s="24">
        <v>325127517</v>
      </c>
      <c r="FK9" s="76">
        <v>58535863</v>
      </c>
      <c r="FL9" s="76">
        <v>266591654</v>
      </c>
      <c r="FM9" s="76">
        <v>510.2</v>
      </c>
      <c r="FN9" s="14">
        <v>43544</v>
      </c>
      <c r="FO9" s="77">
        <v>27</v>
      </c>
      <c r="FP9" s="24">
        <v>388629075</v>
      </c>
      <c r="FQ9" s="76">
        <v>61373361</v>
      </c>
      <c r="FR9" s="76">
        <v>327255714</v>
      </c>
      <c r="FS9" s="76">
        <v>490.08</v>
      </c>
      <c r="FT9" s="14">
        <v>55647</v>
      </c>
      <c r="FU9" s="77">
        <v>9</v>
      </c>
      <c r="FV9" s="37">
        <v>127.79487415028477</v>
      </c>
      <c r="FW9" s="38">
        <v>107.94343575418995</v>
      </c>
      <c r="FY9" s="75">
        <v>465704149</v>
      </c>
      <c r="FZ9" s="76">
        <v>75110024</v>
      </c>
      <c r="GA9" s="76">
        <v>390594125</v>
      </c>
      <c r="GB9" s="76">
        <v>589</v>
      </c>
      <c r="GC9" s="76">
        <v>55262</v>
      </c>
      <c r="GD9" s="77">
        <f t="shared" si="0"/>
        <v>8</v>
      </c>
      <c r="GE9" s="26"/>
      <c r="GF9" s="39">
        <v>517187881</v>
      </c>
      <c r="GG9" s="76">
        <v>85705212</v>
      </c>
      <c r="GH9" s="76">
        <v>431482669</v>
      </c>
      <c r="GI9" s="76">
        <v>583.79</v>
      </c>
      <c r="GJ9" s="14">
        <v>61592</v>
      </c>
      <c r="GK9" s="77">
        <f t="shared" si="1"/>
        <v>4</v>
      </c>
      <c r="GL9" s="39">
        <v>512218563</v>
      </c>
      <c r="GM9" s="76">
        <v>92244335</v>
      </c>
      <c r="GN9" s="295">
        <v>419974228</v>
      </c>
      <c r="GO9" s="76">
        <v>549.44000000000005</v>
      </c>
      <c r="GP9" s="14">
        <v>63697</v>
      </c>
      <c r="GQ9" s="77">
        <f t="shared" si="2"/>
        <v>4</v>
      </c>
      <c r="GR9" s="37">
        <v>104.23736565286987</v>
      </c>
      <c r="GS9" s="38">
        <v>104.32086051035587</v>
      </c>
      <c r="GU9" s="75">
        <v>504163458</v>
      </c>
      <c r="GV9" s="76">
        <v>91738048</v>
      </c>
      <c r="GW9" s="76">
        <v>412425410</v>
      </c>
      <c r="GX9" s="76">
        <v>596.5</v>
      </c>
      <c r="GY9" s="76">
        <v>57617</v>
      </c>
      <c r="GZ9" s="77">
        <f t="shared" si="3"/>
        <v>9</v>
      </c>
      <c r="HA9" s="26"/>
      <c r="HB9" s="39">
        <v>507542726</v>
      </c>
      <c r="HC9" s="76">
        <v>89538748</v>
      </c>
      <c r="HD9" s="76">
        <v>418003978</v>
      </c>
      <c r="HE9" s="76">
        <v>584.25</v>
      </c>
      <c r="HF9" s="14">
        <v>59621</v>
      </c>
      <c r="HG9" s="77">
        <f t="shared" si="4"/>
        <v>7</v>
      </c>
      <c r="HH9" s="39">
        <v>518695257</v>
      </c>
      <c r="HI9" s="76">
        <v>79745871</v>
      </c>
      <c r="HJ9" s="295">
        <v>438949386</v>
      </c>
      <c r="HK9" s="76">
        <v>540.19000000000005</v>
      </c>
      <c r="HL9" s="14">
        <v>67715</v>
      </c>
      <c r="HM9" s="77">
        <f t="shared" si="5"/>
        <v>4</v>
      </c>
      <c r="HN9" s="37"/>
      <c r="HO9" s="38"/>
    </row>
    <row r="10" spans="1:223" ht="18" customHeight="1">
      <c r="A10" s="65">
        <v>306</v>
      </c>
      <c r="B10" s="68" t="s">
        <v>11</v>
      </c>
      <c r="C10" s="33" t="s">
        <v>12</v>
      </c>
      <c r="D10" s="41"/>
      <c r="E10" s="75">
        <v>640341000</v>
      </c>
      <c r="F10" s="76">
        <v>5231000</v>
      </c>
      <c r="G10" s="76">
        <v>635110000</v>
      </c>
      <c r="H10" s="76">
        <v>1772</v>
      </c>
      <c r="I10" s="76">
        <v>29868</v>
      </c>
      <c r="J10" s="77">
        <v>23</v>
      </c>
      <c r="K10" s="38">
        <v>100</v>
      </c>
      <c r="L10" s="75">
        <v>647644222</v>
      </c>
      <c r="M10" s="76">
        <v>8140451</v>
      </c>
      <c r="N10" s="76">
        <v>639503771</v>
      </c>
      <c r="O10" s="76">
        <v>1780</v>
      </c>
      <c r="P10" s="76">
        <v>29939</v>
      </c>
      <c r="Q10" s="77">
        <v>23</v>
      </c>
      <c r="R10" s="75">
        <v>655906399</v>
      </c>
      <c r="S10" s="76">
        <v>7020757</v>
      </c>
      <c r="T10" s="76">
        <v>648885642</v>
      </c>
      <c r="U10" s="76">
        <v>1721</v>
      </c>
      <c r="V10" s="76">
        <v>31420</v>
      </c>
      <c r="W10" s="77">
        <v>23</v>
      </c>
      <c r="X10" s="37">
        <v>104.94672500751527</v>
      </c>
      <c r="Y10" s="38">
        <v>101.42681903286204</v>
      </c>
      <c r="AA10" s="75">
        <v>674197303</v>
      </c>
      <c r="AB10" s="76">
        <v>6615620</v>
      </c>
      <c r="AC10" s="76">
        <v>667581683</v>
      </c>
      <c r="AD10" s="76">
        <v>1824</v>
      </c>
      <c r="AE10" s="76">
        <v>30500</v>
      </c>
      <c r="AF10" s="77">
        <v>23</v>
      </c>
      <c r="AG10" s="38">
        <v>102.11597696531405</v>
      </c>
      <c r="AH10" s="75">
        <v>678399909</v>
      </c>
      <c r="AI10" s="76">
        <v>6615620</v>
      </c>
      <c r="AJ10" s="76">
        <v>671784289</v>
      </c>
      <c r="AK10" s="76">
        <v>1825</v>
      </c>
      <c r="AL10" s="76">
        <v>30675</v>
      </c>
      <c r="AM10" s="77">
        <v>23</v>
      </c>
      <c r="AN10" s="75">
        <v>677552857</v>
      </c>
      <c r="AO10" s="76">
        <v>6293325</v>
      </c>
      <c r="AP10" s="76">
        <v>671259532</v>
      </c>
      <c r="AQ10" s="76">
        <v>1748</v>
      </c>
      <c r="AR10" s="76">
        <v>32001</v>
      </c>
      <c r="AS10" s="77">
        <v>24</v>
      </c>
      <c r="AT10" s="37">
        <v>104.32273838630807</v>
      </c>
      <c r="AU10" s="38">
        <v>101.84914067472948</v>
      </c>
      <c r="AW10" s="75">
        <v>714580096</v>
      </c>
      <c r="AX10" s="76">
        <v>6898002</v>
      </c>
      <c r="AY10" s="76">
        <v>707682094</v>
      </c>
      <c r="AZ10" s="76">
        <v>1845</v>
      </c>
      <c r="BA10" s="76">
        <v>31964</v>
      </c>
      <c r="BB10" s="27">
        <v>23</v>
      </c>
      <c r="BC10" s="38">
        <v>104.80000000000001</v>
      </c>
      <c r="BD10" s="24">
        <v>722406568</v>
      </c>
      <c r="BE10" s="76">
        <v>6898002</v>
      </c>
      <c r="BF10" s="76">
        <v>715508566</v>
      </c>
      <c r="BG10" s="76">
        <v>1855</v>
      </c>
      <c r="BH10" s="14">
        <v>32143</v>
      </c>
      <c r="BI10" s="27">
        <v>23</v>
      </c>
      <c r="BJ10" s="24">
        <v>729716796</v>
      </c>
      <c r="BK10" s="76">
        <v>9788151</v>
      </c>
      <c r="BL10" s="76">
        <v>719928645</v>
      </c>
      <c r="BM10" s="76">
        <v>1778</v>
      </c>
      <c r="BN10" s="14">
        <v>33742</v>
      </c>
      <c r="BO10" s="27">
        <v>23</v>
      </c>
      <c r="BP10" s="37">
        <v>104.97464455713529</v>
      </c>
      <c r="BQ10" s="38">
        <v>105.4404549857817</v>
      </c>
      <c r="BS10" s="24">
        <v>760719268</v>
      </c>
      <c r="BT10" s="76">
        <v>7276958</v>
      </c>
      <c r="BU10" s="76">
        <v>753442310</v>
      </c>
      <c r="BV10" s="76">
        <v>1951</v>
      </c>
      <c r="BW10" s="14">
        <v>32182</v>
      </c>
      <c r="BX10" s="27">
        <v>25</v>
      </c>
      <c r="BY10" s="26">
        <v>100.68201726942812</v>
      </c>
      <c r="BZ10" s="24">
        <v>771107283</v>
      </c>
      <c r="CA10" s="76">
        <v>7276958</v>
      </c>
      <c r="CB10" s="76">
        <v>763830325</v>
      </c>
      <c r="CC10" s="76">
        <v>1973</v>
      </c>
      <c r="CD10" s="14">
        <v>32262</v>
      </c>
      <c r="CE10" s="77">
        <v>27</v>
      </c>
      <c r="CF10" s="24">
        <v>768808680</v>
      </c>
      <c r="CG10" s="76">
        <v>6864995</v>
      </c>
      <c r="CH10" s="76">
        <v>761943685</v>
      </c>
      <c r="CI10" s="76">
        <v>1795</v>
      </c>
      <c r="CJ10" s="14">
        <v>35373</v>
      </c>
      <c r="CK10" s="77">
        <v>24</v>
      </c>
      <c r="CL10" s="37">
        <v>109.64292356332528</v>
      </c>
      <c r="CM10" s="38">
        <v>104.83373836761307</v>
      </c>
      <c r="CO10" s="75">
        <v>826811296</v>
      </c>
      <c r="CP10" s="76">
        <v>7395758</v>
      </c>
      <c r="CQ10" s="76">
        <v>819415538</v>
      </c>
      <c r="CR10" s="76">
        <v>2000</v>
      </c>
      <c r="CS10" s="76">
        <v>34142</v>
      </c>
      <c r="CT10" s="45">
        <v>25</v>
      </c>
      <c r="CU10" s="26">
        <v>106.09036107140636</v>
      </c>
      <c r="CV10" s="75">
        <v>843625280</v>
      </c>
      <c r="CW10" s="76">
        <v>8495758</v>
      </c>
      <c r="CX10" s="76">
        <v>835129522</v>
      </c>
      <c r="CY10" s="76">
        <v>2004.83</v>
      </c>
      <c r="CZ10" s="76">
        <v>34713</v>
      </c>
      <c r="DA10" s="77">
        <v>30</v>
      </c>
      <c r="DB10" s="24">
        <v>837805933.38999999</v>
      </c>
      <c r="DC10" s="76">
        <v>6438096.3899999997</v>
      </c>
      <c r="DD10" s="76">
        <v>831367837</v>
      </c>
      <c r="DE10" s="76">
        <v>1818</v>
      </c>
      <c r="DF10" s="14">
        <v>38108</v>
      </c>
      <c r="DG10" s="77">
        <v>28</v>
      </c>
      <c r="DH10" s="37">
        <v>109.78019762048801</v>
      </c>
      <c r="DI10" s="38">
        <v>107.73188590167642</v>
      </c>
      <c r="DK10" s="24">
        <v>908282421</v>
      </c>
      <c r="DL10" s="76">
        <v>7508558</v>
      </c>
      <c r="DM10" s="76">
        <v>900773863</v>
      </c>
      <c r="DN10" s="76">
        <v>2020.5</v>
      </c>
      <c r="DO10" s="14">
        <v>37151</v>
      </c>
      <c r="DP10" s="77">
        <v>29</v>
      </c>
      <c r="DQ10" s="26">
        <v>108.81319196297814</v>
      </c>
      <c r="DR10" s="24">
        <v>909986671</v>
      </c>
      <c r="DS10" s="76">
        <v>9108558</v>
      </c>
      <c r="DT10" s="76">
        <v>900878113</v>
      </c>
      <c r="DU10" s="76">
        <v>2026.17</v>
      </c>
      <c r="DV10" s="14">
        <v>37052</v>
      </c>
      <c r="DW10" s="77">
        <v>31</v>
      </c>
      <c r="DX10" s="24">
        <v>894184625.78999996</v>
      </c>
      <c r="DY10" s="76">
        <v>6724311.79</v>
      </c>
      <c r="DZ10" s="76">
        <v>887460314</v>
      </c>
      <c r="EA10" s="76">
        <v>1807.47</v>
      </c>
      <c r="EB10" s="14">
        <v>40916</v>
      </c>
      <c r="EC10" s="77">
        <v>30</v>
      </c>
      <c r="ED10" s="37">
        <v>110.42858685091224</v>
      </c>
      <c r="EE10" s="38">
        <v>107.36853154193344</v>
      </c>
      <c r="EG10" s="24">
        <v>944305498</v>
      </c>
      <c r="EH10" s="76">
        <v>7846958</v>
      </c>
      <c r="EI10" s="76">
        <v>936458540</v>
      </c>
      <c r="EJ10" s="76">
        <v>2032.5</v>
      </c>
      <c r="EK10" s="14">
        <v>38395</v>
      </c>
      <c r="EL10" s="77">
        <v>33</v>
      </c>
      <c r="EM10" s="26">
        <v>103.34849667572878</v>
      </c>
      <c r="EN10" s="24">
        <v>965543162</v>
      </c>
      <c r="EO10" s="76">
        <v>7846958</v>
      </c>
      <c r="EP10" s="76">
        <v>957696204</v>
      </c>
      <c r="EQ10" s="76">
        <v>2040</v>
      </c>
      <c r="ER10" s="14">
        <v>39122</v>
      </c>
      <c r="ES10" s="77">
        <v>29</v>
      </c>
      <c r="ET10" s="24">
        <v>963133811</v>
      </c>
      <c r="EU10" s="76">
        <v>10653624</v>
      </c>
      <c r="EV10" s="76">
        <v>952480187</v>
      </c>
      <c r="EW10" s="76">
        <v>1847.69</v>
      </c>
      <c r="EX10" s="14">
        <v>42958</v>
      </c>
      <c r="EY10" s="27">
        <v>30</v>
      </c>
      <c r="EZ10" s="37">
        <v>109.80522468176474</v>
      </c>
      <c r="FA10" s="38">
        <v>104.99071267963633</v>
      </c>
      <c r="FC10" s="24">
        <v>995622788</v>
      </c>
      <c r="FD10" s="76">
        <v>8172386</v>
      </c>
      <c r="FE10" s="76">
        <v>987450402</v>
      </c>
      <c r="FF10" s="76">
        <v>2048.58</v>
      </c>
      <c r="FG10" s="14">
        <v>40168</v>
      </c>
      <c r="FH10" s="77">
        <v>34</v>
      </c>
      <c r="FI10" s="26">
        <v>104.61778877458003</v>
      </c>
      <c r="FJ10" s="24">
        <v>1015229954</v>
      </c>
      <c r="FK10" s="76">
        <v>8172386</v>
      </c>
      <c r="FL10" s="76">
        <v>1007057568</v>
      </c>
      <c r="FM10" s="76">
        <v>2072.5699999999997</v>
      </c>
      <c r="FN10" s="14">
        <v>40491</v>
      </c>
      <c r="FO10" s="77">
        <v>35</v>
      </c>
      <c r="FP10" s="24">
        <v>1017067313</v>
      </c>
      <c r="FQ10" s="76">
        <v>8815528</v>
      </c>
      <c r="FR10" s="76">
        <v>1008251785</v>
      </c>
      <c r="FS10" s="76">
        <v>1867.31</v>
      </c>
      <c r="FT10" s="14">
        <v>44996</v>
      </c>
      <c r="FU10" s="77">
        <v>31</v>
      </c>
      <c r="FV10" s="37">
        <v>111.12592921883875</v>
      </c>
      <c r="FW10" s="38">
        <v>104.74416872293868</v>
      </c>
      <c r="FY10" s="75">
        <v>1122206154</v>
      </c>
      <c r="FZ10" s="76">
        <v>8116958</v>
      </c>
      <c r="GA10" s="76">
        <v>1114089196</v>
      </c>
      <c r="GB10" s="76">
        <v>2062</v>
      </c>
      <c r="GC10" s="76">
        <v>45025</v>
      </c>
      <c r="GD10" s="77">
        <f t="shared" si="0"/>
        <v>32</v>
      </c>
      <c r="GE10" s="26"/>
      <c r="GF10" s="39">
        <v>1118200234</v>
      </c>
      <c r="GG10" s="76">
        <v>8116958</v>
      </c>
      <c r="GH10" s="76">
        <v>1110083276</v>
      </c>
      <c r="GI10" s="76">
        <v>2055.66</v>
      </c>
      <c r="GJ10" s="14">
        <v>45001</v>
      </c>
      <c r="GK10" s="77">
        <f t="shared" si="1"/>
        <v>35</v>
      </c>
      <c r="GL10" s="39">
        <v>1105220054</v>
      </c>
      <c r="GM10" s="76">
        <v>8878190</v>
      </c>
      <c r="GN10" s="295">
        <v>1096341864</v>
      </c>
      <c r="GO10" s="76">
        <v>1865.28</v>
      </c>
      <c r="GP10" s="14">
        <v>48980</v>
      </c>
      <c r="GQ10" s="77">
        <f t="shared" si="2"/>
        <v>31</v>
      </c>
      <c r="GR10" s="37">
        <v>109.78019762048801</v>
      </c>
      <c r="GS10" s="38">
        <v>107.73188590167642</v>
      </c>
      <c r="GU10" s="75">
        <v>1171214258</v>
      </c>
      <c r="GV10" s="76">
        <v>8437358</v>
      </c>
      <c r="GW10" s="76">
        <v>1162776900</v>
      </c>
      <c r="GX10" s="76">
        <v>2052</v>
      </c>
      <c r="GY10" s="76">
        <v>47221</v>
      </c>
      <c r="GZ10" s="77">
        <f t="shared" si="3"/>
        <v>36</v>
      </c>
      <c r="HA10" s="26"/>
      <c r="HB10" s="39">
        <v>1167180539</v>
      </c>
      <c r="HC10" s="76">
        <v>10900854</v>
      </c>
      <c r="HD10" s="76">
        <v>1156279685</v>
      </c>
      <c r="HE10" s="76">
        <v>2051.75</v>
      </c>
      <c r="HF10" s="14">
        <v>46963</v>
      </c>
      <c r="HG10" s="77">
        <f t="shared" si="4"/>
        <v>36</v>
      </c>
      <c r="HH10" s="39">
        <v>1153126507.3900001</v>
      </c>
      <c r="HI10" s="76">
        <v>7978309.3900000006</v>
      </c>
      <c r="HJ10" s="295">
        <v>1145148198</v>
      </c>
      <c r="HK10" s="76">
        <v>1872.15</v>
      </c>
      <c r="HL10" s="14">
        <v>50973</v>
      </c>
      <c r="HM10" s="77">
        <f t="shared" si="5"/>
        <v>36</v>
      </c>
      <c r="HN10" s="37"/>
      <c r="HO10" s="38"/>
    </row>
    <row r="11" spans="1:223" ht="18" customHeight="1">
      <c r="A11" s="65">
        <v>307</v>
      </c>
      <c r="B11" s="68" t="s">
        <v>13</v>
      </c>
      <c r="C11" s="33" t="s">
        <v>14</v>
      </c>
      <c r="D11" s="41"/>
      <c r="E11" s="75">
        <v>10227092000</v>
      </c>
      <c r="F11" s="76">
        <v>1038841000</v>
      </c>
      <c r="G11" s="76">
        <v>9188251000</v>
      </c>
      <c r="H11" s="76">
        <v>31734</v>
      </c>
      <c r="I11" s="76">
        <v>24128</v>
      </c>
      <c r="J11" s="77">
        <v>34</v>
      </c>
      <c r="K11" s="38">
        <v>100</v>
      </c>
      <c r="L11" s="75">
        <v>10437326921</v>
      </c>
      <c r="M11" s="76">
        <v>1419808963</v>
      </c>
      <c r="N11" s="76">
        <v>9017517958</v>
      </c>
      <c r="O11" s="76">
        <v>30960</v>
      </c>
      <c r="P11" s="76">
        <v>24272</v>
      </c>
      <c r="Q11" s="77">
        <v>34</v>
      </c>
      <c r="R11" s="75">
        <v>10428247209</v>
      </c>
      <c r="S11" s="76">
        <v>1473039251</v>
      </c>
      <c r="T11" s="76">
        <v>8955207958</v>
      </c>
      <c r="U11" s="76">
        <v>29817</v>
      </c>
      <c r="V11" s="76">
        <v>25028</v>
      </c>
      <c r="W11" s="77">
        <v>36</v>
      </c>
      <c r="X11" s="37">
        <v>103.11470006591958</v>
      </c>
      <c r="Y11" s="38">
        <v>100.65149199710449</v>
      </c>
      <c r="AA11" s="75">
        <v>10418018514</v>
      </c>
      <c r="AB11" s="76">
        <v>1039217000</v>
      </c>
      <c r="AC11" s="76">
        <v>9378801514</v>
      </c>
      <c r="AD11" s="76">
        <v>29290</v>
      </c>
      <c r="AE11" s="76">
        <v>26684</v>
      </c>
      <c r="AF11" s="77">
        <v>32</v>
      </c>
      <c r="AG11" s="38">
        <v>110.59350132625995</v>
      </c>
      <c r="AH11" s="75">
        <v>10648875354</v>
      </c>
      <c r="AI11" s="76">
        <v>1381710110</v>
      </c>
      <c r="AJ11" s="76">
        <v>9267165244</v>
      </c>
      <c r="AK11" s="76">
        <v>28873</v>
      </c>
      <c r="AL11" s="76">
        <v>26747</v>
      </c>
      <c r="AM11" s="77">
        <v>33</v>
      </c>
      <c r="AN11" s="75">
        <v>10656817436</v>
      </c>
      <c r="AO11" s="76">
        <v>1377297742</v>
      </c>
      <c r="AP11" s="76">
        <v>9279519694</v>
      </c>
      <c r="AQ11" s="76">
        <v>28433</v>
      </c>
      <c r="AR11" s="76">
        <v>27197</v>
      </c>
      <c r="AS11" s="77">
        <v>35</v>
      </c>
      <c r="AT11" s="37">
        <v>101.68243167458033</v>
      </c>
      <c r="AU11" s="38">
        <v>108.66629375099888</v>
      </c>
      <c r="AW11" s="75">
        <v>10856582569</v>
      </c>
      <c r="AX11" s="76">
        <v>1090369391</v>
      </c>
      <c r="AY11" s="76">
        <v>9766213178</v>
      </c>
      <c r="AZ11" s="76">
        <v>29290</v>
      </c>
      <c r="BA11" s="76">
        <v>27786</v>
      </c>
      <c r="BB11" s="27">
        <v>34</v>
      </c>
      <c r="BC11" s="38">
        <v>104.12981561984711</v>
      </c>
      <c r="BD11" s="24">
        <v>11140424642</v>
      </c>
      <c r="BE11" s="76">
        <v>1100374657</v>
      </c>
      <c r="BF11" s="76">
        <v>10040049985</v>
      </c>
      <c r="BG11" s="76">
        <v>29503</v>
      </c>
      <c r="BH11" s="14">
        <v>28359</v>
      </c>
      <c r="BI11" s="27">
        <v>34</v>
      </c>
      <c r="BJ11" s="24">
        <v>11137853367.119999</v>
      </c>
      <c r="BK11" s="76">
        <v>1092115412.1300001</v>
      </c>
      <c r="BL11" s="76">
        <v>10045737954.99</v>
      </c>
      <c r="BM11" s="76">
        <v>28933</v>
      </c>
      <c r="BN11" s="14">
        <v>28934</v>
      </c>
      <c r="BO11" s="27">
        <v>35</v>
      </c>
      <c r="BP11" s="37">
        <v>102.02757502027575</v>
      </c>
      <c r="BQ11" s="38">
        <v>106.38673383093725</v>
      </c>
      <c r="BS11" s="24">
        <v>11924615531</v>
      </c>
      <c r="BT11" s="76">
        <v>759611900</v>
      </c>
      <c r="BU11" s="76">
        <v>11165003631</v>
      </c>
      <c r="BV11" s="76">
        <v>30552</v>
      </c>
      <c r="BW11" s="14">
        <v>30454</v>
      </c>
      <c r="BX11" s="27">
        <v>33</v>
      </c>
      <c r="BY11" s="26">
        <v>109.60195782048514</v>
      </c>
      <c r="BZ11" s="24">
        <v>12375117353</v>
      </c>
      <c r="CA11" s="76">
        <v>946779420</v>
      </c>
      <c r="CB11" s="76">
        <v>11428337933</v>
      </c>
      <c r="CC11" s="76">
        <v>30757</v>
      </c>
      <c r="CD11" s="14">
        <v>30964</v>
      </c>
      <c r="CE11" s="77">
        <v>33</v>
      </c>
      <c r="CF11" s="24">
        <v>12381299534.540001</v>
      </c>
      <c r="CG11" s="76">
        <v>939873320</v>
      </c>
      <c r="CH11" s="76">
        <v>11441426214.540001</v>
      </c>
      <c r="CI11" s="76">
        <v>30332</v>
      </c>
      <c r="CJ11" s="14">
        <v>31434</v>
      </c>
      <c r="CK11" s="77">
        <v>34</v>
      </c>
      <c r="CL11" s="37">
        <v>101.51789174525254</v>
      </c>
      <c r="CM11" s="38">
        <v>108.6403539088961</v>
      </c>
      <c r="CO11" s="75">
        <v>13460507641</v>
      </c>
      <c r="CP11" s="76">
        <v>831800807</v>
      </c>
      <c r="CQ11" s="76">
        <v>12628706834</v>
      </c>
      <c r="CR11" s="76">
        <v>32516</v>
      </c>
      <c r="CS11" s="76">
        <v>32365</v>
      </c>
      <c r="CT11" s="45">
        <v>33</v>
      </c>
      <c r="CU11" s="26">
        <v>106.27503776187038</v>
      </c>
      <c r="CV11" s="75">
        <v>13361424815</v>
      </c>
      <c r="CW11" s="76">
        <v>939788179</v>
      </c>
      <c r="CX11" s="76">
        <v>12421636636</v>
      </c>
      <c r="CY11" s="76">
        <v>31462</v>
      </c>
      <c r="CZ11" s="76">
        <v>32901</v>
      </c>
      <c r="DA11" s="77">
        <v>36</v>
      </c>
      <c r="DB11" s="24">
        <v>13278346447.73</v>
      </c>
      <c r="DC11" s="76">
        <v>922155567</v>
      </c>
      <c r="DD11" s="76">
        <v>12356190880.73</v>
      </c>
      <c r="DE11" s="76">
        <v>30567</v>
      </c>
      <c r="DF11" s="14">
        <v>33686</v>
      </c>
      <c r="DG11" s="77">
        <v>37</v>
      </c>
      <c r="DH11" s="37">
        <v>102.38594571593569</v>
      </c>
      <c r="DI11" s="38">
        <v>107.16421708977539</v>
      </c>
      <c r="DK11" s="24">
        <v>15458894814</v>
      </c>
      <c r="DL11" s="76">
        <v>1157008259</v>
      </c>
      <c r="DM11" s="76">
        <v>14301886555</v>
      </c>
      <c r="DN11" s="76">
        <v>32557</v>
      </c>
      <c r="DO11" s="14">
        <v>36607</v>
      </c>
      <c r="DP11" s="77">
        <v>32</v>
      </c>
      <c r="DQ11" s="26">
        <v>113.10675112003707</v>
      </c>
      <c r="DR11" s="24">
        <v>15469585459</v>
      </c>
      <c r="DS11" s="76">
        <v>1161690404</v>
      </c>
      <c r="DT11" s="76">
        <v>14307895055</v>
      </c>
      <c r="DU11" s="76">
        <v>32557</v>
      </c>
      <c r="DV11" s="14">
        <v>36623</v>
      </c>
      <c r="DW11" s="77">
        <v>33</v>
      </c>
      <c r="DX11" s="24">
        <v>15475963806.700001</v>
      </c>
      <c r="DY11" s="76">
        <v>1108706294.7</v>
      </c>
      <c r="DZ11" s="76">
        <v>14367257512</v>
      </c>
      <c r="EA11" s="76">
        <v>31622.59</v>
      </c>
      <c r="EB11" s="14">
        <v>37861</v>
      </c>
      <c r="EC11" s="77">
        <v>37</v>
      </c>
      <c r="ED11" s="37">
        <v>103.38038937279852</v>
      </c>
      <c r="EE11" s="38">
        <v>112.39387282550615</v>
      </c>
      <c r="EG11" s="24">
        <v>17314001889</v>
      </c>
      <c r="EH11" s="76">
        <v>1767733171</v>
      </c>
      <c r="EI11" s="76">
        <v>15546268718</v>
      </c>
      <c r="EJ11" s="76">
        <v>33622</v>
      </c>
      <c r="EK11" s="14">
        <v>38532</v>
      </c>
      <c r="EL11" s="77">
        <v>31</v>
      </c>
      <c r="EM11" s="26">
        <v>105.25855710656431</v>
      </c>
      <c r="EN11" s="24">
        <v>17324283786</v>
      </c>
      <c r="EO11" s="76">
        <v>1772130508</v>
      </c>
      <c r="EP11" s="76">
        <v>15552153278</v>
      </c>
      <c r="EQ11" s="76">
        <v>33622</v>
      </c>
      <c r="ER11" s="14">
        <v>38547</v>
      </c>
      <c r="ES11" s="77">
        <v>35</v>
      </c>
      <c r="ET11" s="24">
        <v>17241734879.849998</v>
      </c>
      <c r="EU11" s="76">
        <v>1731257754.95</v>
      </c>
      <c r="EV11" s="76">
        <v>15510477124.9</v>
      </c>
      <c r="EW11" s="76">
        <v>32551.020000000004</v>
      </c>
      <c r="EX11" s="14">
        <v>39708</v>
      </c>
      <c r="EY11" s="27">
        <v>38</v>
      </c>
      <c r="EZ11" s="37">
        <v>103.01190754144291</v>
      </c>
      <c r="FA11" s="38">
        <v>104.87837088296664</v>
      </c>
      <c r="FC11" s="24">
        <v>17917157923</v>
      </c>
      <c r="FD11" s="76">
        <v>1744137395</v>
      </c>
      <c r="FE11" s="76">
        <v>16173020528</v>
      </c>
      <c r="FF11" s="76">
        <v>34657</v>
      </c>
      <c r="FG11" s="14">
        <v>38888</v>
      </c>
      <c r="FH11" s="77">
        <v>38</v>
      </c>
      <c r="FI11" s="26">
        <v>100.92390740164019</v>
      </c>
      <c r="FJ11" s="24">
        <v>17892879005</v>
      </c>
      <c r="FK11" s="76">
        <v>1682345032</v>
      </c>
      <c r="FL11" s="76">
        <v>16210533973</v>
      </c>
      <c r="FM11" s="76">
        <v>33830</v>
      </c>
      <c r="FN11" s="14">
        <v>39931</v>
      </c>
      <c r="FO11" s="77">
        <v>38</v>
      </c>
      <c r="FP11" s="24">
        <v>17743857921</v>
      </c>
      <c r="FQ11" s="76">
        <v>1549446622</v>
      </c>
      <c r="FR11" s="76">
        <v>16194411299</v>
      </c>
      <c r="FS11" s="76">
        <v>33483.479999999996</v>
      </c>
      <c r="FT11" s="14">
        <v>40304</v>
      </c>
      <c r="FU11" s="77">
        <v>39</v>
      </c>
      <c r="FV11" s="37">
        <v>100.93411134206507</v>
      </c>
      <c r="FW11" s="38">
        <v>101.50095698599779</v>
      </c>
      <c r="FY11" s="75">
        <v>21492526025</v>
      </c>
      <c r="FZ11" s="76">
        <v>1470504849</v>
      </c>
      <c r="GA11" s="76">
        <v>20022021176</v>
      </c>
      <c r="GB11" s="76">
        <v>37619</v>
      </c>
      <c r="GC11" s="76">
        <v>44353</v>
      </c>
      <c r="GD11" s="77">
        <f t="shared" si="0"/>
        <v>34</v>
      </c>
      <c r="GE11" s="26"/>
      <c r="GF11" s="39">
        <v>21999777531</v>
      </c>
      <c r="GG11" s="76">
        <v>1555624788</v>
      </c>
      <c r="GH11" s="76">
        <v>20444152743</v>
      </c>
      <c r="GI11" s="76">
        <v>37619</v>
      </c>
      <c r="GJ11" s="14">
        <v>45288</v>
      </c>
      <c r="GK11" s="77">
        <f t="shared" si="1"/>
        <v>34</v>
      </c>
      <c r="GL11" s="39">
        <v>21174916071.040001</v>
      </c>
      <c r="GM11" s="76">
        <v>1506077103.0400002</v>
      </c>
      <c r="GN11" s="295">
        <v>19668838968</v>
      </c>
      <c r="GO11" s="76">
        <v>35466.42</v>
      </c>
      <c r="GP11" s="14">
        <v>46215</v>
      </c>
      <c r="GQ11" s="77">
        <f t="shared" si="2"/>
        <v>37</v>
      </c>
      <c r="GR11" s="37">
        <v>102.38594571593569</v>
      </c>
      <c r="GS11" s="38">
        <v>107.16421708977539</v>
      </c>
      <c r="GU11" s="75">
        <v>23518816507</v>
      </c>
      <c r="GV11" s="76">
        <v>1466187557</v>
      </c>
      <c r="GW11" s="76">
        <v>22052628950</v>
      </c>
      <c r="GX11" s="76">
        <v>38809</v>
      </c>
      <c r="GY11" s="76">
        <v>47353</v>
      </c>
      <c r="GZ11" s="77">
        <f t="shared" si="3"/>
        <v>35</v>
      </c>
      <c r="HA11" s="26"/>
      <c r="HB11" s="39">
        <v>22900575570</v>
      </c>
      <c r="HC11" s="76">
        <v>1470811707</v>
      </c>
      <c r="HD11" s="76">
        <v>21429763863</v>
      </c>
      <c r="HE11" s="76">
        <v>38809</v>
      </c>
      <c r="HF11" s="14">
        <v>46015</v>
      </c>
      <c r="HG11" s="77">
        <f t="shared" si="4"/>
        <v>38</v>
      </c>
      <c r="HH11" s="39">
        <v>22988024426.739998</v>
      </c>
      <c r="HI11" s="76">
        <v>1506270782.26</v>
      </c>
      <c r="HJ11" s="295">
        <v>21481753644.48</v>
      </c>
      <c r="HK11" s="76">
        <v>36118.04</v>
      </c>
      <c r="HL11" s="14">
        <v>49564</v>
      </c>
      <c r="HM11" s="77">
        <f t="shared" si="5"/>
        <v>38</v>
      </c>
      <c r="HN11" s="37"/>
      <c r="HO11" s="38"/>
    </row>
    <row r="12" spans="1:223" ht="18" customHeight="1">
      <c r="A12" s="65">
        <v>308</v>
      </c>
      <c r="B12" s="68" t="s">
        <v>80</v>
      </c>
      <c r="C12" s="33" t="s">
        <v>81</v>
      </c>
      <c r="D12" s="41"/>
      <c r="E12" s="75">
        <v>130608000</v>
      </c>
      <c r="F12" s="76">
        <v>1812000</v>
      </c>
      <c r="G12" s="76">
        <v>128796000</v>
      </c>
      <c r="H12" s="76">
        <v>294</v>
      </c>
      <c r="I12" s="76">
        <v>36507</v>
      </c>
      <c r="J12" s="77">
        <v>6</v>
      </c>
      <c r="K12" s="38">
        <v>101.70213951415199</v>
      </c>
      <c r="L12" s="75">
        <v>131788000</v>
      </c>
      <c r="M12" s="76">
        <v>1812000</v>
      </c>
      <c r="N12" s="76">
        <v>129976000</v>
      </c>
      <c r="O12" s="76">
        <v>296</v>
      </c>
      <c r="P12" s="76">
        <v>36592</v>
      </c>
      <c r="Q12" s="77">
        <v>6</v>
      </c>
      <c r="R12" s="75">
        <v>129440136</v>
      </c>
      <c r="S12" s="76">
        <v>1231226</v>
      </c>
      <c r="T12" s="76">
        <v>128208910</v>
      </c>
      <c r="U12" s="76">
        <v>279</v>
      </c>
      <c r="V12" s="76">
        <v>38294</v>
      </c>
      <c r="W12" s="77">
        <v>11</v>
      </c>
      <c r="X12" s="37">
        <v>104.65128989943157</v>
      </c>
      <c r="Y12" s="38">
        <v>101.22386402685628</v>
      </c>
      <c r="AA12" s="75">
        <v>143749898</v>
      </c>
      <c r="AB12" s="76">
        <v>1848240</v>
      </c>
      <c r="AC12" s="76">
        <v>141901658</v>
      </c>
      <c r="AD12" s="76">
        <v>310</v>
      </c>
      <c r="AE12" s="76">
        <v>38146</v>
      </c>
      <c r="AF12" s="77">
        <v>5</v>
      </c>
      <c r="AG12" s="38">
        <v>104.48954994932478</v>
      </c>
      <c r="AH12" s="75">
        <v>144577658</v>
      </c>
      <c r="AI12" s="76">
        <v>1848240</v>
      </c>
      <c r="AJ12" s="76">
        <v>142729418</v>
      </c>
      <c r="AK12" s="76">
        <v>310</v>
      </c>
      <c r="AL12" s="76">
        <v>38368</v>
      </c>
      <c r="AM12" s="77">
        <v>5</v>
      </c>
      <c r="AN12" s="75">
        <v>142096196</v>
      </c>
      <c r="AO12" s="76">
        <v>1351736</v>
      </c>
      <c r="AP12" s="76">
        <v>140744460</v>
      </c>
      <c r="AQ12" s="76">
        <v>290</v>
      </c>
      <c r="AR12" s="76">
        <v>40444</v>
      </c>
      <c r="AS12" s="77">
        <v>8</v>
      </c>
      <c r="AT12" s="37">
        <v>105.41075896580483</v>
      </c>
      <c r="AU12" s="38">
        <v>105.61445657283126</v>
      </c>
      <c r="AW12" s="75">
        <v>155078393</v>
      </c>
      <c r="AX12" s="76">
        <v>1941622</v>
      </c>
      <c r="AY12" s="76">
        <v>153136771</v>
      </c>
      <c r="AZ12" s="76">
        <v>316</v>
      </c>
      <c r="BA12" s="76">
        <v>40384</v>
      </c>
      <c r="BB12" s="27">
        <v>7</v>
      </c>
      <c r="BC12" s="38">
        <v>105.86693231269334</v>
      </c>
      <c r="BD12" s="24">
        <v>155844077</v>
      </c>
      <c r="BE12" s="76">
        <v>1941622</v>
      </c>
      <c r="BF12" s="76">
        <v>153902455</v>
      </c>
      <c r="BG12" s="76">
        <v>316</v>
      </c>
      <c r="BH12" s="14">
        <v>40586</v>
      </c>
      <c r="BI12" s="27">
        <v>7</v>
      </c>
      <c r="BJ12" s="24">
        <v>151481114</v>
      </c>
      <c r="BK12" s="76">
        <v>1562290</v>
      </c>
      <c r="BL12" s="76">
        <v>149918824</v>
      </c>
      <c r="BM12" s="76">
        <v>303</v>
      </c>
      <c r="BN12" s="14">
        <v>41232</v>
      </c>
      <c r="BO12" s="27">
        <v>9</v>
      </c>
      <c r="BP12" s="37">
        <v>101.59168186074015</v>
      </c>
      <c r="BQ12" s="38">
        <v>101.9483730590446</v>
      </c>
      <c r="BS12" s="24">
        <v>164916377</v>
      </c>
      <c r="BT12" s="76">
        <v>1999871</v>
      </c>
      <c r="BU12" s="76">
        <v>162916506</v>
      </c>
      <c r="BV12" s="76">
        <v>324</v>
      </c>
      <c r="BW12" s="14">
        <v>41902</v>
      </c>
      <c r="BX12" s="27">
        <v>6</v>
      </c>
      <c r="BY12" s="26">
        <v>103.7589144215531</v>
      </c>
      <c r="BZ12" s="24">
        <v>166317228</v>
      </c>
      <c r="CA12" s="76">
        <v>1999871</v>
      </c>
      <c r="CB12" s="76">
        <v>164317357</v>
      </c>
      <c r="CC12" s="76">
        <v>333</v>
      </c>
      <c r="CD12" s="14">
        <v>41120</v>
      </c>
      <c r="CE12" s="77">
        <v>9</v>
      </c>
      <c r="CF12" s="24">
        <v>165647889</v>
      </c>
      <c r="CG12" s="76">
        <v>2521929</v>
      </c>
      <c r="CH12" s="76">
        <v>163125960</v>
      </c>
      <c r="CI12" s="76">
        <v>312</v>
      </c>
      <c r="CJ12" s="14">
        <v>43570</v>
      </c>
      <c r="CK12" s="77">
        <v>9</v>
      </c>
      <c r="CL12" s="37">
        <v>105.95817120622569</v>
      </c>
      <c r="CM12" s="38">
        <v>105.67035312378734</v>
      </c>
      <c r="CO12" s="75">
        <v>187547263</v>
      </c>
      <c r="CP12" s="76">
        <v>1999871</v>
      </c>
      <c r="CQ12" s="76">
        <v>185547392</v>
      </c>
      <c r="CR12" s="76">
        <v>352</v>
      </c>
      <c r="CS12" s="76">
        <v>43927</v>
      </c>
      <c r="CT12" s="45">
        <v>6</v>
      </c>
      <c r="CU12" s="26">
        <v>104.83270488282182</v>
      </c>
      <c r="CV12" s="75">
        <v>164462070</v>
      </c>
      <c r="CW12" s="76">
        <v>1577407</v>
      </c>
      <c r="CX12" s="76">
        <v>162884663</v>
      </c>
      <c r="CY12" s="76">
        <v>330.91</v>
      </c>
      <c r="CZ12" s="76">
        <v>41019</v>
      </c>
      <c r="DA12" s="77">
        <v>18</v>
      </c>
      <c r="DB12" s="24">
        <v>167504390</v>
      </c>
      <c r="DC12" s="76">
        <v>1713309</v>
      </c>
      <c r="DD12" s="76">
        <v>165791081</v>
      </c>
      <c r="DE12" s="76">
        <v>295</v>
      </c>
      <c r="DF12" s="14">
        <v>46834</v>
      </c>
      <c r="DG12" s="77">
        <v>12</v>
      </c>
      <c r="DH12" s="37">
        <v>114.1763572978376</v>
      </c>
      <c r="DI12" s="38">
        <v>107.49139316043149</v>
      </c>
      <c r="DK12" s="24">
        <v>154889377</v>
      </c>
      <c r="DL12" s="76">
        <v>1420438</v>
      </c>
      <c r="DM12" s="76">
        <v>153468939</v>
      </c>
      <c r="DN12" s="76">
        <v>268</v>
      </c>
      <c r="DO12" s="14">
        <v>47720</v>
      </c>
      <c r="DP12" s="77">
        <v>8</v>
      </c>
      <c r="DQ12" s="26">
        <v>108.6347804311699</v>
      </c>
      <c r="DR12" s="24">
        <v>154889377</v>
      </c>
      <c r="DS12" s="76">
        <v>1420438</v>
      </c>
      <c r="DT12" s="76">
        <v>153468939</v>
      </c>
      <c r="DU12" s="76">
        <v>268</v>
      </c>
      <c r="DV12" s="14">
        <v>47720</v>
      </c>
      <c r="DW12" s="77">
        <v>8</v>
      </c>
      <c r="DX12" s="24">
        <v>156122766</v>
      </c>
      <c r="DY12" s="76">
        <v>1295413</v>
      </c>
      <c r="DZ12" s="76">
        <v>154827353</v>
      </c>
      <c r="EA12" s="76">
        <v>249.67</v>
      </c>
      <c r="EB12" s="14">
        <v>51677</v>
      </c>
      <c r="EC12" s="77">
        <v>8</v>
      </c>
      <c r="ED12" s="37">
        <v>108.2921207041073</v>
      </c>
      <c r="EE12" s="38">
        <v>110.34077806721612</v>
      </c>
      <c r="EG12" s="24">
        <v>158091571</v>
      </c>
      <c r="EH12" s="76">
        <v>1420438</v>
      </c>
      <c r="EI12" s="76">
        <v>156671133</v>
      </c>
      <c r="EJ12" s="76">
        <v>268</v>
      </c>
      <c r="EK12" s="14">
        <v>48716</v>
      </c>
      <c r="EL12" s="77">
        <v>11</v>
      </c>
      <c r="EM12" s="26">
        <v>102.08717518860017</v>
      </c>
      <c r="EN12" s="24">
        <v>161091571</v>
      </c>
      <c r="EO12" s="76">
        <v>2260438</v>
      </c>
      <c r="EP12" s="76">
        <v>158831133</v>
      </c>
      <c r="EQ12" s="76">
        <v>268</v>
      </c>
      <c r="ER12" s="14">
        <v>49388</v>
      </c>
      <c r="ES12" s="77">
        <v>10</v>
      </c>
      <c r="ET12" s="24">
        <v>160848569</v>
      </c>
      <c r="EU12" s="76">
        <v>3489188</v>
      </c>
      <c r="EV12" s="76">
        <v>157359381</v>
      </c>
      <c r="EW12" s="76">
        <v>254.44</v>
      </c>
      <c r="EX12" s="14">
        <v>51538</v>
      </c>
      <c r="EY12" s="27">
        <v>14</v>
      </c>
      <c r="EZ12" s="37">
        <v>104.35328419859076</v>
      </c>
      <c r="FA12" s="38">
        <v>99.731021537627967</v>
      </c>
      <c r="FC12" s="24">
        <v>166149005</v>
      </c>
      <c r="FD12" s="76">
        <v>1420438</v>
      </c>
      <c r="FE12" s="76">
        <v>164728567</v>
      </c>
      <c r="FF12" s="76">
        <v>262</v>
      </c>
      <c r="FG12" s="14">
        <v>52395</v>
      </c>
      <c r="FH12" s="77">
        <v>10</v>
      </c>
      <c r="FI12" s="26">
        <v>107.55193365629363</v>
      </c>
      <c r="FJ12" s="24">
        <v>166149005</v>
      </c>
      <c r="FK12" s="76">
        <v>1420438</v>
      </c>
      <c r="FL12" s="76">
        <v>164728567</v>
      </c>
      <c r="FM12" s="76">
        <v>262</v>
      </c>
      <c r="FN12" s="14">
        <v>52395</v>
      </c>
      <c r="FO12" s="77">
        <v>9</v>
      </c>
      <c r="FP12" s="24">
        <v>161387122</v>
      </c>
      <c r="FQ12" s="76">
        <v>1260714</v>
      </c>
      <c r="FR12" s="76">
        <v>160126408</v>
      </c>
      <c r="FS12" s="76">
        <v>245.64</v>
      </c>
      <c r="FT12" s="14">
        <v>54323</v>
      </c>
      <c r="FU12" s="77">
        <v>11</v>
      </c>
      <c r="FV12" s="37">
        <v>103.67974043324746</v>
      </c>
      <c r="FW12" s="38">
        <v>105.40377973534092</v>
      </c>
      <c r="FY12" s="75">
        <v>169118073</v>
      </c>
      <c r="FZ12" s="76">
        <v>1420438</v>
      </c>
      <c r="GA12" s="76">
        <v>167697635</v>
      </c>
      <c r="GB12" s="76">
        <v>262</v>
      </c>
      <c r="GC12" s="76">
        <v>53339</v>
      </c>
      <c r="GD12" s="77">
        <f t="shared" si="0"/>
        <v>13</v>
      </c>
      <c r="GE12" s="26"/>
      <c r="GF12" s="39">
        <v>171118073</v>
      </c>
      <c r="GG12" s="76">
        <v>1420438</v>
      </c>
      <c r="GH12" s="76">
        <v>169697635</v>
      </c>
      <c r="GI12" s="76">
        <v>262</v>
      </c>
      <c r="GJ12" s="14">
        <v>53975</v>
      </c>
      <c r="GK12" s="77">
        <f t="shared" si="1"/>
        <v>12</v>
      </c>
      <c r="GL12" s="39">
        <v>163305774</v>
      </c>
      <c r="GM12" s="76">
        <v>1287300</v>
      </c>
      <c r="GN12" s="295">
        <v>162018474</v>
      </c>
      <c r="GO12" s="76">
        <v>235.18</v>
      </c>
      <c r="GP12" s="14">
        <v>57409</v>
      </c>
      <c r="GQ12" s="77">
        <f t="shared" si="2"/>
        <v>13</v>
      </c>
      <c r="GR12" s="37">
        <v>114.1763572978376</v>
      </c>
      <c r="GS12" s="38">
        <v>107.49139316043149</v>
      </c>
      <c r="GU12" s="75">
        <v>177502955</v>
      </c>
      <c r="GV12" s="76">
        <v>1420438</v>
      </c>
      <c r="GW12" s="76">
        <v>176082517</v>
      </c>
      <c r="GX12" s="76">
        <v>262</v>
      </c>
      <c r="GY12" s="76">
        <v>56006</v>
      </c>
      <c r="GZ12" s="77">
        <f t="shared" si="3"/>
        <v>12</v>
      </c>
      <c r="HA12" s="26"/>
      <c r="HB12" s="39">
        <v>184411290</v>
      </c>
      <c r="HC12" s="76">
        <v>1420438</v>
      </c>
      <c r="HD12" s="76">
        <v>182990852</v>
      </c>
      <c r="HE12" s="76">
        <v>262</v>
      </c>
      <c r="HF12" s="14">
        <v>58203</v>
      </c>
      <c r="HG12" s="77">
        <f t="shared" si="4"/>
        <v>9</v>
      </c>
      <c r="HH12" s="39">
        <v>182091638</v>
      </c>
      <c r="HI12" s="76">
        <v>2626566</v>
      </c>
      <c r="HJ12" s="295">
        <v>179465072</v>
      </c>
      <c r="HK12" s="76">
        <v>232.85</v>
      </c>
      <c r="HL12" s="14">
        <v>64228</v>
      </c>
      <c r="HM12" s="77">
        <f t="shared" si="5"/>
        <v>9</v>
      </c>
      <c r="HN12" s="37"/>
      <c r="HO12" s="38"/>
    </row>
    <row r="13" spans="1:223" ht="18" customHeight="1">
      <c r="A13" s="65">
        <v>309</v>
      </c>
      <c r="B13" s="68" t="s">
        <v>82</v>
      </c>
      <c r="C13" s="33" t="s">
        <v>91</v>
      </c>
      <c r="D13" s="41"/>
      <c r="E13" s="75">
        <v>48080000</v>
      </c>
      <c r="F13" s="76">
        <v>5639000</v>
      </c>
      <c r="G13" s="76">
        <v>42441000</v>
      </c>
      <c r="H13" s="76">
        <v>113</v>
      </c>
      <c r="I13" s="76">
        <v>31299</v>
      </c>
      <c r="J13" s="77">
        <v>19</v>
      </c>
      <c r="K13" s="38">
        <v>100</v>
      </c>
      <c r="L13" s="75">
        <v>50334000</v>
      </c>
      <c r="M13" s="76">
        <v>5639000</v>
      </c>
      <c r="N13" s="76">
        <v>44695000</v>
      </c>
      <c r="O13" s="76">
        <v>118</v>
      </c>
      <c r="P13" s="76">
        <v>31564</v>
      </c>
      <c r="Q13" s="77">
        <v>20</v>
      </c>
      <c r="R13" s="75">
        <v>49843209</v>
      </c>
      <c r="S13" s="76">
        <v>5639000</v>
      </c>
      <c r="T13" s="76">
        <v>44204209</v>
      </c>
      <c r="U13" s="76">
        <v>115</v>
      </c>
      <c r="V13" s="76">
        <v>32032</v>
      </c>
      <c r="W13" s="77">
        <v>21</v>
      </c>
      <c r="X13" s="37">
        <v>101.4827018121911</v>
      </c>
      <c r="Y13" s="38">
        <v>99.626772829061963</v>
      </c>
      <c r="AA13" s="75">
        <v>50848480</v>
      </c>
      <c r="AB13" s="76">
        <v>5259580</v>
      </c>
      <c r="AC13" s="76">
        <v>45588900</v>
      </c>
      <c r="AD13" s="76">
        <v>119</v>
      </c>
      <c r="AE13" s="76">
        <v>31925</v>
      </c>
      <c r="AF13" s="77">
        <v>21</v>
      </c>
      <c r="AG13" s="38">
        <v>102.00006389980511</v>
      </c>
      <c r="AH13" s="75">
        <v>53554365</v>
      </c>
      <c r="AI13" s="76">
        <v>5504580</v>
      </c>
      <c r="AJ13" s="76">
        <v>48049785</v>
      </c>
      <c r="AK13" s="76">
        <v>122</v>
      </c>
      <c r="AL13" s="76">
        <v>32821</v>
      </c>
      <c r="AM13" s="77">
        <v>20</v>
      </c>
      <c r="AN13" s="75">
        <v>54799701</v>
      </c>
      <c r="AO13" s="76">
        <v>5389557</v>
      </c>
      <c r="AP13" s="76">
        <v>49410144</v>
      </c>
      <c r="AQ13" s="76">
        <v>123</v>
      </c>
      <c r="AR13" s="76">
        <v>33476</v>
      </c>
      <c r="AS13" s="77">
        <v>22</v>
      </c>
      <c r="AT13" s="37">
        <v>101.99567350172146</v>
      </c>
      <c r="AU13" s="38">
        <v>104.50799200799202</v>
      </c>
      <c r="AW13" s="75">
        <v>59497817</v>
      </c>
      <c r="AX13" s="76">
        <v>5716395</v>
      </c>
      <c r="AY13" s="76">
        <v>53781422</v>
      </c>
      <c r="AZ13" s="76">
        <v>133</v>
      </c>
      <c r="BA13" s="76">
        <v>33698</v>
      </c>
      <c r="BB13" s="27">
        <v>22</v>
      </c>
      <c r="BC13" s="38">
        <v>105.55364134690682</v>
      </c>
      <c r="BD13" s="24">
        <v>59261839</v>
      </c>
      <c r="BE13" s="76">
        <v>5708995</v>
      </c>
      <c r="BF13" s="76">
        <v>53552844</v>
      </c>
      <c r="BG13" s="76">
        <v>130</v>
      </c>
      <c r="BH13" s="14">
        <v>34329</v>
      </c>
      <c r="BI13" s="27">
        <v>22</v>
      </c>
      <c r="BJ13" s="24">
        <v>60995724.240000002</v>
      </c>
      <c r="BK13" s="76">
        <v>6049151</v>
      </c>
      <c r="BL13" s="76">
        <v>54946573.240000002</v>
      </c>
      <c r="BM13" s="76">
        <v>132</v>
      </c>
      <c r="BN13" s="14">
        <v>34688</v>
      </c>
      <c r="BO13" s="27">
        <v>21</v>
      </c>
      <c r="BP13" s="37">
        <v>101.04576305747328</v>
      </c>
      <c r="BQ13" s="38">
        <v>103.6205042418449</v>
      </c>
      <c r="BS13" s="24">
        <v>58603536</v>
      </c>
      <c r="BT13" s="76">
        <v>5953580</v>
      </c>
      <c r="BU13" s="76">
        <v>52649956</v>
      </c>
      <c r="BV13" s="76">
        <v>127</v>
      </c>
      <c r="BW13" s="14">
        <v>34547</v>
      </c>
      <c r="BX13" s="27">
        <v>22</v>
      </c>
      <c r="BY13" s="26">
        <v>102.51943735533267</v>
      </c>
      <c r="BZ13" s="24">
        <v>59371636</v>
      </c>
      <c r="CA13" s="76">
        <v>6001680</v>
      </c>
      <c r="CB13" s="76">
        <v>53369956</v>
      </c>
      <c r="CC13" s="76">
        <v>128</v>
      </c>
      <c r="CD13" s="14">
        <v>34746</v>
      </c>
      <c r="CE13" s="77">
        <v>22</v>
      </c>
      <c r="CF13" s="24">
        <v>63676375.240000002</v>
      </c>
      <c r="CG13" s="76">
        <v>7061549</v>
      </c>
      <c r="CH13" s="76">
        <v>56614826.240000002</v>
      </c>
      <c r="CI13" s="76">
        <v>132</v>
      </c>
      <c r="CJ13" s="14">
        <v>35742</v>
      </c>
      <c r="CK13" s="77">
        <v>22</v>
      </c>
      <c r="CL13" s="37">
        <v>102.86651700915212</v>
      </c>
      <c r="CM13" s="38">
        <v>103.03851476014761</v>
      </c>
      <c r="CO13" s="75">
        <v>64761787</v>
      </c>
      <c r="CP13" s="76">
        <v>6257580</v>
      </c>
      <c r="CQ13" s="76">
        <v>58504207</v>
      </c>
      <c r="CR13" s="76">
        <v>133</v>
      </c>
      <c r="CS13" s="76">
        <v>36657</v>
      </c>
      <c r="CT13" s="45">
        <v>22</v>
      </c>
      <c r="CU13" s="26">
        <v>106.10762150114337</v>
      </c>
      <c r="CV13" s="75">
        <v>67034870</v>
      </c>
      <c r="CW13" s="76">
        <v>6523032</v>
      </c>
      <c r="CX13" s="76">
        <v>60511838</v>
      </c>
      <c r="CY13" s="76">
        <v>136</v>
      </c>
      <c r="CZ13" s="76">
        <v>37078</v>
      </c>
      <c r="DA13" s="77">
        <v>25</v>
      </c>
      <c r="DB13" s="24">
        <v>68695406.24000001</v>
      </c>
      <c r="DC13" s="76">
        <v>7382214</v>
      </c>
      <c r="DD13" s="76">
        <v>61313192.240000002</v>
      </c>
      <c r="DE13" s="76">
        <v>137</v>
      </c>
      <c r="DF13" s="14">
        <v>37295</v>
      </c>
      <c r="DG13" s="77">
        <v>30</v>
      </c>
      <c r="DH13" s="37">
        <v>100.58525271050217</v>
      </c>
      <c r="DI13" s="38">
        <v>104.34502825807172</v>
      </c>
      <c r="DK13" s="24">
        <v>77344724</v>
      </c>
      <c r="DL13" s="76">
        <v>6689580</v>
      </c>
      <c r="DM13" s="76">
        <v>70655144</v>
      </c>
      <c r="DN13" s="76">
        <v>149.25</v>
      </c>
      <c r="DO13" s="14">
        <v>39450</v>
      </c>
      <c r="DP13" s="77">
        <v>26</v>
      </c>
      <c r="DQ13" s="26">
        <v>107.61928144692692</v>
      </c>
      <c r="DR13" s="24">
        <v>81319400</v>
      </c>
      <c r="DS13" s="76">
        <v>6802980</v>
      </c>
      <c r="DT13" s="76">
        <v>74516420</v>
      </c>
      <c r="DU13" s="76">
        <v>156.25</v>
      </c>
      <c r="DV13" s="14">
        <v>39742</v>
      </c>
      <c r="DW13" s="77">
        <v>26</v>
      </c>
      <c r="DX13" s="24">
        <v>81675187.810000002</v>
      </c>
      <c r="DY13" s="76">
        <v>7332966</v>
      </c>
      <c r="DZ13" s="76">
        <v>74342221.810000002</v>
      </c>
      <c r="EA13" s="76">
        <v>157.38999999999999</v>
      </c>
      <c r="EB13" s="14">
        <v>39362</v>
      </c>
      <c r="EC13" s="77">
        <v>34</v>
      </c>
      <c r="ED13" s="37">
        <v>99.043832721050777</v>
      </c>
      <c r="EE13" s="38">
        <v>105.5422978951602</v>
      </c>
      <c r="EG13" s="24">
        <v>86112638</v>
      </c>
      <c r="EH13" s="76">
        <v>7003880</v>
      </c>
      <c r="EI13" s="76">
        <v>79108758</v>
      </c>
      <c r="EJ13" s="76">
        <v>155.66999999999999</v>
      </c>
      <c r="EK13" s="14">
        <v>42349</v>
      </c>
      <c r="EL13" s="77">
        <v>23</v>
      </c>
      <c r="EM13" s="26">
        <v>107.34854245880862</v>
      </c>
      <c r="EN13" s="24">
        <v>93283838</v>
      </c>
      <c r="EO13" s="76">
        <v>8455080</v>
      </c>
      <c r="EP13" s="76">
        <v>84828758</v>
      </c>
      <c r="EQ13" s="76">
        <v>164.67</v>
      </c>
      <c r="ER13" s="14">
        <v>42929</v>
      </c>
      <c r="ES13" s="77">
        <v>23</v>
      </c>
      <c r="ET13" s="24">
        <v>89259664.680000007</v>
      </c>
      <c r="EU13" s="76">
        <v>9099342</v>
      </c>
      <c r="EV13" s="76">
        <v>80160322.680000007</v>
      </c>
      <c r="EW13" s="76">
        <v>156.24</v>
      </c>
      <c r="EX13" s="14">
        <v>42755</v>
      </c>
      <c r="EY13" s="27">
        <v>32</v>
      </c>
      <c r="EZ13" s="37">
        <v>99.594679587225414</v>
      </c>
      <c r="FA13" s="38">
        <v>108.6199888217062</v>
      </c>
      <c r="FC13" s="24">
        <v>88773338</v>
      </c>
      <c r="FD13" s="76">
        <v>7444580</v>
      </c>
      <c r="FE13" s="76">
        <v>81328758</v>
      </c>
      <c r="FF13" s="76">
        <v>154</v>
      </c>
      <c r="FG13" s="14">
        <v>44009</v>
      </c>
      <c r="FH13" s="77">
        <v>26</v>
      </c>
      <c r="FI13" s="26">
        <v>103.91980920446764</v>
      </c>
      <c r="FJ13" s="24">
        <v>88773338</v>
      </c>
      <c r="FK13" s="76">
        <v>7444580</v>
      </c>
      <c r="FL13" s="76">
        <v>81328758</v>
      </c>
      <c r="FM13" s="76">
        <v>154</v>
      </c>
      <c r="FN13" s="14">
        <v>44009</v>
      </c>
      <c r="FO13" s="77">
        <v>26</v>
      </c>
      <c r="FP13" s="24">
        <v>96062386.180000007</v>
      </c>
      <c r="FQ13" s="76">
        <v>10248671</v>
      </c>
      <c r="FR13" s="76">
        <v>85813715.180000007</v>
      </c>
      <c r="FS13" s="76">
        <v>162.41</v>
      </c>
      <c r="FT13" s="14">
        <v>44031</v>
      </c>
      <c r="FU13" s="77">
        <v>32</v>
      </c>
      <c r="FV13" s="37">
        <v>100.04998977481878</v>
      </c>
      <c r="FW13" s="38">
        <v>102.9844462635949</v>
      </c>
      <c r="FY13" s="75">
        <v>91264225</v>
      </c>
      <c r="FZ13" s="76">
        <v>7993580</v>
      </c>
      <c r="GA13" s="76">
        <v>83270645</v>
      </c>
      <c r="GB13" s="76">
        <v>154</v>
      </c>
      <c r="GC13" s="76">
        <v>45060</v>
      </c>
      <c r="GD13" s="77">
        <f t="shared" si="0"/>
        <v>31</v>
      </c>
      <c r="GE13" s="26"/>
      <c r="GF13" s="39">
        <v>94264225</v>
      </c>
      <c r="GG13" s="76">
        <v>7993580</v>
      </c>
      <c r="GH13" s="76">
        <v>86270645</v>
      </c>
      <c r="GI13" s="76">
        <v>154</v>
      </c>
      <c r="GJ13" s="14">
        <v>46683</v>
      </c>
      <c r="GK13" s="77">
        <f t="shared" si="1"/>
        <v>30</v>
      </c>
      <c r="GL13" s="39">
        <v>95891501.5</v>
      </c>
      <c r="GM13" s="76">
        <v>9088750</v>
      </c>
      <c r="GN13" s="295">
        <v>86802751.5</v>
      </c>
      <c r="GO13" s="76">
        <v>153.11000000000001</v>
      </c>
      <c r="GP13" s="14">
        <v>47244</v>
      </c>
      <c r="GQ13" s="77">
        <f t="shared" si="2"/>
        <v>36</v>
      </c>
      <c r="GR13" s="37">
        <v>100.58525271050217</v>
      </c>
      <c r="GS13" s="38">
        <v>104.34502825807172</v>
      </c>
      <c r="GU13" s="75">
        <v>107206357</v>
      </c>
      <c r="GV13" s="76">
        <v>12010580</v>
      </c>
      <c r="GW13" s="76">
        <v>95195777</v>
      </c>
      <c r="GX13" s="76">
        <v>154</v>
      </c>
      <c r="GY13" s="76">
        <v>51513</v>
      </c>
      <c r="GZ13" s="77">
        <f t="shared" si="3"/>
        <v>27</v>
      </c>
      <c r="HA13" s="26"/>
      <c r="HB13" s="39">
        <v>110204414</v>
      </c>
      <c r="HC13" s="76">
        <v>12010580</v>
      </c>
      <c r="HD13" s="76">
        <v>98193834</v>
      </c>
      <c r="HE13" s="76">
        <v>158.85</v>
      </c>
      <c r="HF13" s="14">
        <v>51513</v>
      </c>
      <c r="HG13" s="77">
        <f t="shared" si="4"/>
        <v>27</v>
      </c>
      <c r="HH13" s="39">
        <v>107157324.37</v>
      </c>
      <c r="HI13" s="76">
        <v>9284877</v>
      </c>
      <c r="HJ13" s="295">
        <v>97872447.370000005</v>
      </c>
      <c r="HK13" s="76">
        <v>156.77000000000001</v>
      </c>
      <c r="HL13" s="14">
        <v>52025</v>
      </c>
      <c r="HM13" s="77">
        <f t="shared" si="5"/>
        <v>33</v>
      </c>
      <c r="HN13" s="37"/>
      <c r="HO13" s="38"/>
    </row>
    <row r="14" spans="1:223" ht="18" customHeight="1">
      <c r="A14" s="65">
        <v>312</v>
      </c>
      <c r="B14" s="68" t="s">
        <v>15</v>
      </c>
      <c r="C14" s="33" t="s">
        <v>16</v>
      </c>
      <c r="D14" s="41"/>
      <c r="E14" s="75">
        <v>7821874000</v>
      </c>
      <c r="F14" s="76">
        <v>57913000</v>
      </c>
      <c r="G14" s="76">
        <v>7763961000</v>
      </c>
      <c r="H14" s="76">
        <v>24218</v>
      </c>
      <c r="I14" s="76">
        <v>26716</v>
      </c>
      <c r="J14" s="77">
        <v>28</v>
      </c>
      <c r="K14" s="38">
        <v>102.93596362795716</v>
      </c>
      <c r="L14" s="75">
        <v>8044437273</v>
      </c>
      <c r="M14" s="76">
        <v>67876373</v>
      </c>
      <c r="N14" s="76">
        <v>7976560900</v>
      </c>
      <c r="O14" s="76">
        <v>24222</v>
      </c>
      <c r="P14" s="76">
        <v>27443</v>
      </c>
      <c r="Q14" s="77">
        <v>27</v>
      </c>
      <c r="R14" s="75">
        <v>7983989972</v>
      </c>
      <c r="S14" s="76">
        <v>41909093</v>
      </c>
      <c r="T14" s="76">
        <v>7942080879</v>
      </c>
      <c r="U14" s="76">
        <v>23347</v>
      </c>
      <c r="V14" s="76">
        <v>28348</v>
      </c>
      <c r="W14" s="77">
        <v>33</v>
      </c>
      <c r="X14" s="37">
        <v>103.29774441569799</v>
      </c>
      <c r="Y14" s="38">
        <v>102.01892971533451</v>
      </c>
      <c r="AA14" s="75">
        <v>8199608731</v>
      </c>
      <c r="AB14" s="76">
        <v>59013120</v>
      </c>
      <c r="AC14" s="76">
        <v>8140595611</v>
      </c>
      <c r="AD14" s="76">
        <v>24279</v>
      </c>
      <c r="AE14" s="76">
        <v>27941</v>
      </c>
      <c r="AF14" s="77">
        <v>28</v>
      </c>
      <c r="AG14" s="38">
        <v>104.58526725557718</v>
      </c>
      <c r="AH14" s="75">
        <v>8275514578</v>
      </c>
      <c r="AI14" s="76">
        <v>59557495</v>
      </c>
      <c r="AJ14" s="76">
        <v>8215957083</v>
      </c>
      <c r="AK14" s="76">
        <v>24305</v>
      </c>
      <c r="AL14" s="76">
        <v>28170</v>
      </c>
      <c r="AM14" s="77">
        <v>30</v>
      </c>
      <c r="AN14" s="75">
        <v>8242061671</v>
      </c>
      <c r="AO14" s="76">
        <v>54195496</v>
      </c>
      <c r="AP14" s="76">
        <v>8187866175</v>
      </c>
      <c r="AQ14" s="76">
        <v>23478</v>
      </c>
      <c r="AR14" s="76">
        <v>29062</v>
      </c>
      <c r="AS14" s="77">
        <v>33</v>
      </c>
      <c r="AT14" s="37">
        <v>103.16648917287894</v>
      </c>
      <c r="AU14" s="38">
        <v>102.51869620431778</v>
      </c>
      <c r="AW14" s="75">
        <v>8828251329</v>
      </c>
      <c r="AX14" s="76">
        <v>58717384</v>
      </c>
      <c r="AY14" s="76">
        <v>8769533945</v>
      </c>
      <c r="AZ14" s="76">
        <v>24878</v>
      </c>
      <c r="BA14" s="76">
        <v>29375</v>
      </c>
      <c r="BB14" s="27">
        <v>31</v>
      </c>
      <c r="BC14" s="38">
        <v>105.13224294048173</v>
      </c>
      <c r="BD14" s="24">
        <v>8921590706</v>
      </c>
      <c r="BE14" s="76">
        <v>63834652</v>
      </c>
      <c r="BF14" s="76">
        <v>8857756054</v>
      </c>
      <c r="BG14" s="76">
        <v>24873</v>
      </c>
      <c r="BH14" s="14">
        <v>29677</v>
      </c>
      <c r="BI14" s="27">
        <v>30</v>
      </c>
      <c r="BJ14" s="24">
        <v>8880924963</v>
      </c>
      <c r="BK14" s="76">
        <v>40644785</v>
      </c>
      <c r="BL14" s="76">
        <v>8840280178</v>
      </c>
      <c r="BM14" s="76">
        <v>23744</v>
      </c>
      <c r="BN14" s="14">
        <v>31026</v>
      </c>
      <c r="BO14" s="27">
        <v>30</v>
      </c>
      <c r="BP14" s="37">
        <v>104.54560770967416</v>
      </c>
      <c r="BQ14" s="38">
        <v>106.75796572844266</v>
      </c>
      <c r="BS14" s="24">
        <v>9932195024</v>
      </c>
      <c r="BT14" s="76">
        <v>65187653</v>
      </c>
      <c r="BU14" s="76">
        <v>9867007371</v>
      </c>
      <c r="BV14" s="76">
        <v>25516</v>
      </c>
      <c r="BW14" s="14">
        <v>32225</v>
      </c>
      <c r="BX14" s="27">
        <v>24</v>
      </c>
      <c r="BY14" s="26">
        <v>109.70212765957447</v>
      </c>
      <c r="BZ14" s="24">
        <v>10013570402</v>
      </c>
      <c r="CA14" s="76">
        <v>65613387</v>
      </c>
      <c r="CB14" s="76">
        <v>9947957015</v>
      </c>
      <c r="CC14" s="76">
        <v>25517</v>
      </c>
      <c r="CD14" s="14">
        <v>32488</v>
      </c>
      <c r="CE14" s="77">
        <v>25</v>
      </c>
      <c r="CF14" s="24">
        <v>9730203585</v>
      </c>
      <c r="CG14" s="76">
        <v>36420621</v>
      </c>
      <c r="CH14" s="76">
        <v>9693782964</v>
      </c>
      <c r="CI14" s="76">
        <v>23767</v>
      </c>
      <c r="CJ14" s="14">
        <v>33989</v>
      </c>
      <c r="CK14" s="77">
        <v>27</v>
      </c>
      <c r="CL14" s="37">
        <v>104.62016744644176</v>
      </c>
      <c r="CM14" s="38">
        <v>109.55005479275445</v>
      </c>
      <c r="CO14" s="75">
        <v>11017621431</v>
      </c>
      <c r="CP14" s="76">
        <v>66733494</v>
      </c>
      <c r="CQ14" s="76">
        <v>10950887937</v>
      </c>
      <c r="CR14" s="76">
        <v>26120</v>
      </c>
      <c r="CS14" s="76">
        <v>34938</v>
      </c>
      <c r="CT14" s="45">
        <v>23</v>
      </c>
      <c r="CU14" s="26">
        <v>108.41892940263772</v>
      </c>
      <c r="CV14" s="75">
        <v>11260189028</v>
      </c>
      <c r="CW14" s="76">
        <v>68287466</v>
      </c>
      <c r="CX14" s="76">
        <v>11191901562</v>
      </c>
      <c r="CY14" s="76">
        <v>26120</v>
      </c>
      <c r="CZ14" s="76">
        <v>35707</v>
      </c>
      <c r="DA14" s="77">
        <v>26</v>
      </c>
      <c r="DB14" s="24">
        <v>11200993574.41</v>
      </c>
      <c r="DC14" s="76">
        <v>36035922</v>
      </c>
      <c r="DD14" s="76">
        <v>11164957652.41</v>
      </c>
      <c r="DE14" s="76">
        <v>24076</v>
      </c>
      <c r="DF14" s="14">
        <v>38645</v>
      </c>
      <c r="DG14" s="77">
        <v>26</v>
      </c>
      <c r="DH14" s="37">
        <v>108.22807852801972</v>
      </c>
      <c r="DI14" s="38">
        <v>113.69854953073053</v>
      </c>
      <c r="DK14" s="24">
        <v>12088147819</v>
      </c>
      <c r="DL14" s="76">
        <v>51206397</v>
      </c>
      <c r="DM14" s="76">
        <v>12036941422</v>
      </c>
      <c r="DN14" s="76">
        <v>26174.67</v>
      </c>
      <c r="DO14" s="14">
        <v>38322</v>
      </c>
      <c r="DP14" s="77">
        <v>27</v>
      </c>
      <c r="DQ14" s="26">
        <v>109.68572900566717</v>
      </c>
      <c r="DR14" s="24">
        <v>12090038535</v>
      </c>
      <c r="DS14" s="76">
        <v>53097113</v>
      </c>
      <c r="DT14" s="76">
        <v>12036941422</v>
      </c>
      <c r="DU14" s="76">
        <v>26182.67</v>
      </c>
      <c r="DV14" s="14">
        <v>38311</v>
      </c>
      <c r="DW14" s="77">
        <v>28</v>
      </c>
      <c r="DX14" s="24">
        <v>12071509464.59</v>
      </c>
      <c r="DY14" s="76">
        <v>31370344</v>
      </c>
      <c r="DZ14" s="76">
        <v>12040139120.59</v>
      </c>
      <c r="EA14" s="76">
        <v>24322.18</v>
      </c>
      <c r="EB14" s="14">
        <v>41252</v>
      </c>
      <c r="EC14" s="77">
        <v>28</v>
      </c>
      <c r="ED14" s="37">
        <v>107.67664639398606</v>
      </c>
      <c r="EE14" s="38">
        <v>106.74602147755208</v>
      </c>
      <c r="EG14" s="24">
        <v>12518046807</v>
      </c>
      <c r="EH14" s="76">
        <v>58233400</v>
      </c>
      <c r="EI14" s="76">
        <v>12459813407</v>
      </c>
      <c r="EJ14" s="76">
        <v>25831</v>
      </c>
      <c r="EK14" s="14">
        <v>40197</v>
      </c>
      <c r="EL14" s="77">
        <v>28</v>
      </c>
      <c r="EM14" s="26">
        <v>104.89275090026618</v>
      </c>
      <c r="EN14" s="24">
        <v>12483733368</v>
      </c>
      <c r="EO14" s="76">
        <v>59354908</v>
      </c>
      <c r="EP14" s="76">
        <v>12424378460</v>
      </c>
      <c r="EQ14" s="76">
        <v>25833</v>
      </c>
      <c r="ER14" s="14">
        <v>40079</v>
      </c>
      <c r="ES14" s="77">
        <v>28</v>
      </c>
      <c r="ET14" s="24">
        <v>12432866640</v>
      </c>
      <c r="EU14" s="76">
        <v>37344943</v>
      </c>
      <c r="EV14" s="76">
        <v>12395521697</v>
      </c>
      <c r="EW14" s="76">
        <v>24142.03</v>
      </c>
      <c r="EX14" s="14">
        <v>42787</v>
      </c>
      <c r="EY14" s="27">
        <v>31</v>
      </c>
      <c r="EZ14" s="37">
        <v>106.75665560517977</v>
      </c>
      <c r="FA14" s="38">
        <v>103.72103170755358</v>
      </c>
      <c r="FC14" s="24">
        <v>12884107340</v>
      </c>
      <c r="FD14" s="76">
        <v>53941982</v>
      </c>
      <c r="FE14" s="76">
        <v>12830165358</v>
      </c>
      <c r="FF14" s="76">
        <v>24885</v>
      </c>
      <c r="FG14" s="14">
        <v>42965</v>
      </c>
      <c r="FH14" s="77">
        <v>28</v>
      </c>
      <c r="FI14" s="26">
        <v>106.88608602632037</v>
      </c>
      <c r="FJ14" s="24">
        <v>12921837798</v>
      </c>
      <c r="FK14" s="76">
        <v>88625376</v>
      </c>
      <c r="FL14" s="76">
        <v>12833212422</v>
      </c>
      <c r="FM14" s="76">
        <v>24888.839999999997</v>
      </c>
      <c r="FN14" s="14">
        <v>42968</v>
      </c>
      <c r="FO14" s="77">
        <v>29</v>
      </c>
      <c r="FP14" s="24">
        <v>12831916261.119999</v>
      </c>
      <c r="FQ14" s="76">
        <v>102743197</v>
      </c>
      <c r="FR14" s="76">
        <v>12729173064.119999</v>
      </c>
      <c r="FS14" s="76">
        <v>23560.11</v>
      </c>
      <c r="FT14" s="14">
        <v>45024</v>
      </c>
      <c r="FU14" s="77">
        <v>30</v>
      </c>
      <c r="FV14" s="37">
        <v>104.78495624650903</v>
      </c>
      <c r="FW14" s="38">
        <v>105.22822352583729</v>
      </c>
      <c r="FY14" s="75">
        <v>13038946442</v>
      </c>
      <c r="FZ14" s="76">
        <v>57330478</v>
      </c>
      <c r="GA14" s="76">
        <v>12981615964</v>
      </c>
      <c r="GB14" s="76">
        <v>23458</v>
      </c>
      <c r="GC14" s="76">
        <v>46117</v>
      </c>
      <c r="GD14" s="77">
        <f t="shared" si="0"/>
        <v>30</v>
      </c>
      <c r="GE14" s="26"/>
      <c r="GF14" s="39">
        <v>13049114063</v>
      </c>
      <c r="GG14" s="76">
        <v>58254903</v>
      </c>
      <c r="GH14" s="76">
        <v>12990859160</v>
      </c>
      <c r="GI14" s="76">
        <v>23456.87</v>
      </c>
      <c r="GJ14" s="14">
        <v>46152</v>
      </c>
      <c r="GK14" s="77">
        <f t="shared" si="1"/>
        <v>32</v>
      </c>
      <c r="GL14" s="39">
        <v>12739509929.049999</v>
      </c>
      <c r="GM14" s="76">
        <v>76307371</v>
      </c>
      <c r="GN14" s="295">
        <v>12663202558.049999</v>
      </c>
      <c r="GO14" s="76">
        <v>21604.61</v>
      </c>
      <c r="GP14" s="14">
        <v>48845</v>
      </c>
      <c r="GQ14" s="77">
        <f t="shared" si="2"/>
        <v>32</v>
      </c>
      <c r="GR14" s="37">
        <v>108.22807852801972</v>
      </c>
      <c r="GS14" s="38">
        <v>113.69854953073053</v>
      </c>
      <c r="GU14" s="75">
        <v>13698338262</v>
      </c>
      <c r="GV14" s="76">
        <v>57080922</v>
      </c>
      <c r="GW14" s="76">
        <v>13641257340</v>
      </c>
      <c r="GX14" s="76">
        <v>23308.666666666664</v>
      </c>
      <c r="GY14" s="76">
        <v>48770</v>
      </c>
      <c r="GZ14" s="77">
        <f t="shared" si="3"/>
        <v>34</v>
      </c>
      <c r="HA14" s="26"/>
      <c r="HB14" s="39">
        <v>13312889256</v>
      </c>
      <c r="HC14" s="76">
        <v>61477124</v>
      </c>
      <c r="HD14" s="76">
        <v>13251412132</v>
      </c>
      <c r="HE14" s="76">
        <v>23323</v>
      </c>
      <c r="HF14" s="14">
        <v>47347</v>
      </c>
      <c r="HG14" s="77">
        <f t="shared" si="4"/>
        <v>35</v>
      </c>
      <c r="HH14" s="39">
        <v>13228378082.74</v>
      </c>
      <c r="HI14" s="76">
        <v>47861289</v>
      </c>
      <c r="HJ14" s="295">
        <v>13180516793.74</v>
      </c>
      <c r="HK14" s="76">
        <v>21323.57</v>
      </c>
      <c r="HL14" s="14">
        <v>51510</v>
      </c>
      <c r="HM14" s="77">
        <f t="shared" si="5"/>
        <v>34</v>
      </c>
      <c r="HN14" s="37"/>
      <c r="HO14" s="38"/>
    </row>
    <row r="15" spans="1:223" ht="18" customHeight="1">
      <c r="A15" s="65">
        <v>313</v>
      </c>
      <c r="B15" s="68" t="s">
        <v>17</v>
      </c>
      <c r="C15" s="33" t="s">
        <v>18</v>
      </c>
      <c r="D15" s="41"/>
      <c r="E15" s="75">
        <v>5356374000</v>
      </c>
      <c r="F15" s="76">
        <v>94174000</v>
      </c>
      <c r="G15" s="76">
        <v>5262200000</v>
      </c>
      <c r="H15" s="76">
        <v>19529</v>
      </c>
      <c r="I15" s="76">
        <v>22455</v>
      </c>
      <c r="J15" s="77">
        <v>37</v>
      </c>
      <c r="K15" s="38">
        <v>100.30822835700886</v>
      </c>
      <c r="L15" s="75">
        <v>5432101528</v>
      </c>
      <c r="M15" s="76">
        <v>46376200</v>
      </c>
      <c r="N15" s="76">
        <v>5385725328</v>
      </c>
      <c r="O15" s="76">
        <v>19780</v>
      </c>
      <c r="P15" s="76">
        <v>22690</v>
      </c>
      <c r="Q15" s="77">
        <v>37</v>
      </c>
      <c r="R15" s="75">
        <v>5521830108</v>
      </c>
      <c r="S15" s="76">
        <v>52245131</v>
      </c>
      <c r="T15" s="76">
        <v>5469584977</v>
      </c>
      <c r="U15" s="76">
        <v>19823</v>
      </c>
      <c r="V15" s="76">
        <v>22993</v>
      </c>
      <c r="W15" s="77">
        <v>38</v>
      </c>
      <c r="X15" s="37">
        <v>101.33539003966506</v>
      </c>
      <c r="Y15" s="38">
        <v>101.01484931025394</v>
      </c>
      <c r="AA15" s="75">
        <v>5715243421</v>
      </c>
      <c r="AB15" s="76">
        <v>85589442</v>
      </c>
      <c r="AC15" s="76">
        <v>5629653979</v>
      </c>
      <c r="AD15" s="76">
        <v>20255</v>
      </c>
      <c r="AE15" s="76">
        <v>23162</v>
      </c>
      <c r="AF15" s="77">
        <v>37</v>
      </c>
      <c r="AG15" s="38">
        <v>103.14851926074371</v>
      </c>
      <c r="AH15" s="75">
        <v>5844836246</v>
      </c>
      <c r="AI15" s="76">
        <v>84052203</v>
      </c>
      <c r="AJ15" s="76">
        <v>5760784043</v>
      </c>
      <c r="AK15" s="76">
        <v>20253</v>
      </c>
      <c r="AL15" s="76">
        <v>23703</v>
      </c>
      <c r="AM15" s="77">
        <v>37</v>
      </c>
      <c r="AN15" s="75">
        <v>6145518966</v>
      </c>
      <c r="AO15" s="76">
        <v>64167587</v>
      </c>
      <c r="AP15" s="76">
        <v>6081351379</v>
      </c>
      <c r="AQ15" s="76">
        <v>21123</v>
      </c>
      <c r="AR15" s="76">
        <v>23992</v>
      </c>
      <c r="AS15" s="77">
        <v>37</v>
      </c>
      <c r="AT15" s="37">
        <v>101.21925494663122</v>
      </c>
      <c r="AU15" s="38">
        <v>104.34480059148437</v>
      </c>
      <c r="AW15" s="75">
        <v>6224320350</v>
      </c>
      <c r="AX15" s="76">
        <v>47258894</v>
      </c>
      <c r="AY15" s="76">
        <v>6177061456</v>
      </c>
      <c r="AZ15" s="76">
        <v>20854</v>
      </c>
      <c r="BA15" s="76">
        <v>24684</v>
      </c>
      <c r="BB15" s="27">
        <v>36</v>
      </c>
      <c r="BC15" s="38">
        <v>106.57110784906311</v>
      </c>
      <c r="BD15" s="24">
        <v>6263083158</v>
      </c>
      <c r="BE15" s="76">
        <v>47586894</v>
      </c>
      <c r="BF15" s="76">
        <v>6215496264</v>
      </c>
      <c r="BG15" s="76">
        <v>21077</v>
      </c>
      <c r="BH15" s="14">
        <v>24575</v>
      </c>
      <c r="BI15" s="27">
        <v>36</v>
      </c>
      <c r="BJ15" s="24">
        <v>6542652296.9699993</v>
      </c>
      <c r="BK15" s="76">
        <v>61530538</v>
      </c>
      <c r="BL15" s="76">
        <v>6481121758.9699993</v>
      </c>
      <c r="BM15" s="76">
        <v>21715</v>
      </c>
      <c r="BN15" s="14">
        <v>24872</v>
      </c>
      <c r="BO15" s="27">
        <v>38</v>
      </c>
      <c r="BP15" s="37">
        <v>101.20854526958291</v>
      </c>
      <c r="BQ15" s="38">
        <v>103.66788929643214</v>
      </c>
      <c r="BS15" s="24">
        <v>6722008806</v>
      </c>
      <c r="BT15" s="76">
        <v>51376141</v>
      </c>
      <c r="BU15" s="76">
        <v>6670632665</v>
      </c>
      <c r="BV15" s="76">
        <v>22324</v>
      </c>
      <c r="BW15" s="14">
        <v>24901</v>
      </c>
      <c r="BX15" s="27">
        <v>38</v>
      </c>
      <c r="BY15" s="26">
        <v>100.87911197536866</v>
      </c>
      <c r="BZ15" s="24">
        <v>7173544117</v>
      </c>
      <c r="CA15" s="76">
        <v>94714139</v>
      </c>
      <c r="CB15" s="76">
        <v>7078829978</v>
      </c>
      <c r="CC15" s="76">
        <v>22493</v>
      </c>
      <c r="CD15" s="14">
        <v>26226</v>
      </c>
      <c r="CE15" s="77">
        <v>36</v>
      </c>
      <c r="CF15" s="24">
        <v>6824482130.0799999</v>
      </c>
      <c r="CG15" s="76">
        <v>89553703.00999999</v>
      </c>
      <c r="CH15" s="76">
        <v>6734928427.0699997</v>
      </c>
      <c r="CI15" s="76">
        <v>21212</v>
      </c>
      <c r="CJ15" s="14">
        <v>26459</v>
      </c>
      <c r="CK15" s="77">
        <v>38</v>
      </c>
      <c r="CL15" s="37">
        <v>100.88843132769007</v>
      </c>
      <c r="CM15" s="38">
        <v>106.3806690254101</v>
      </c>
      <c r="CO15" s="75">
        <v>7622263432</v>
      </c>
      <c r="CP15" s="76">
        <v>51259401</v>
      </c>
      <c r="CQ15" s="76">
        <v>7571004031</v>
      </c>
      <c r="CR15" s="76">
        <v>23069.77</v>
      </c>
      <c r="CS15" s="76">
        <v>27348</v>
      </c>
      <c r="CT15" s="45">
        <v>36</v>
      </c>
      <c r="CU15" s="26">
        <v>109.82691458174369</v>
      </c>
      <c r="CV15" s="75">
        <v>7723858913</v>
      </c>
      <c r="CW15" s="76">
        <v>130121991</v>
      </c>
      <c r="CX15" s="76">
        <v>7593736922</v>
      </c>
      <c r="CY15" s="76">
        <v>23069.77</v>
      </c>
      <c r="CZ15" s="76">
        <v>27430</v>
      </c>
      <c r="DA15" s="77">
        <v>40</v>
      </c>
      <c r="DB15" s="24">
        <v>7515848052.3899994</v>
      </c>
      <c r="DC15" s="76">
        <v>100490514</v>
      </c>
      <c r="DD15" s="76">
        <v>7415357538.3899994</v>
      </c>
      <c r="DE15" s="76">
        <v>21734</v>
      </c>
      <c r="DF15" s="14">
        <v>28432</v>
      </c>
      <c r="DG15" s="77">
        <v>41</v>
      </c>
      <c r="DH15" s="37">
        <v>103.65293474298214</v>
      </c>
      <c r="DI15" s="38">
        <v>107.45681998563816</v>
      </c>
      <c r="DK15" s="24">
        <v>8204978271</v>
      </c>
      <c r="DL15" s="76">
        <v>76925381</v>
      </c>
      <c r="DM15" s="76">
        <v>8128052890</v>
      </c>
      <c r="DN15" s="76">
        <v>23493.75</v>
      </c>
      <c r="DO15" s="14">
        <v>28831</v>
      </c>
      <c r="DP15" s="77">
        <v>41</v>
      </c>
      <c r="DQ15" s="26">
        <v>105.4227000146263</v>
      </c>
      <c r="DR15" s="24">
        <v>8208239947</v>
      </c>
      <c r="DS15" s="76">
        <v>84230985</v>
      </c>
      <c r="DT15" s="76">
        <v>8124008962</v>
      </c>
      <c r="DU15" s="76">
        <v>23502</v>
      </c>
      <c r="DV15" s="14">
        <v>28806</v>
      </c>
      <c r="DW15" s="77">
        <v>42</v>
      </c>
      <c r="DX15" s="24">
        <v>8289311340.3699999</v>
      </c>
      <c r="DY15" s="76">
        <v>98377914</v>
      </c>
      <c r="DZ15" s="76">
        <v>8190933426.3699999</v>
      </c>
      <c r="EA15" s="76">
        <v>22294.93</v>
      </c>
      <c r="EB15" s="14">
        <v>30616</v>
      </c>
      <c r="EC15" s="77">
        <v>42</v>
      </c>
      <c r="ED15" s="37">
        <v>106.28341317781019</v>
      </c>
      <c r="EE15" s="38">
        <v>107.68148564997186</v>
      </c>
      <c r="EG15" s="24">
        <v>8683757411</v>
      </c>
      <c r="EH15" s="76">
        <v>81747674</v>
      </c>
      <c r="EI15" s="76">
        <v>8602009737</v>
      </c>
      <c r="EJ15" s="76">
        <v>23369.43</v>
      </c>
      <c r="EK15" s="14">
        <v>30674</v>
      </c>
      <c r="EL15" s="77">
        <v>42</v>
      </c>
      <c r="EM15" s="26">
        <v>106.39242482050571</v>
      </c>
      <c r="EN15" s="24">
        <v>8793658066</v>
      </c>
      <c r="EO15" s="76">
        <v>142020102</v>
      </c>
      <c r="EP15" s="76">
        <v>8651637964</v>
      </c>
      <c r="EQ15" s="76">
        <v>23389.5</v>
      </c>
      <c r="ER15" s="14">
        <v>30825</v>
      </c>
      <c r="ES15" s="77">
        <v>42</v>
      </c>
      <c r="ET15" s="24">
        <v>8849013550.6000004</v>
      </c>
      <c r="EU15" s="76">
        <v>162265294</v>
      </c>
      <c r="EV15" s="76">
        <v>8686748256.6000004</v>
      </c>
      <c r="EW15" s="76">
        <v>22305.13</v>
      </c>
      <c r="EX15" s="14">
        <v>32454</v>
      </c>
      <c r="EY15" s="27">
        <v>43</v>
      </c>
      <c r="EZ15" s="37">
        <v>105.2846715328467</v>
      </c>
      <c r="FA15" s="38">
        <v>106.00339691664489</v>
      </c>
      <c r="FC15" s="24">
        <v>9137895098</v>
      </c>
      <c r="FD15" s="76">
        <v>62356133</v>
      </c>
      <c r="FE15" s="76">
        <v>9075538965</v>
      </c>
      <c r="FF15" s="76">
        <v>22730.15</v>
      </c>
      <c r="FG15" s="14">
        <v>33273</v>
      </c>
      <c r="FH15" s="77">
        <v>42</v>
      </c>
      <c r="FI15" s="26">
        <v>108.47297385407838</v>
      </c>
      <c r="FJ15" s="24">
        <v>9186252519</v>
      </c>
      <c r="FK15" s="76">
        <v>64356133</v>
      </c>
      <c r="FL15" s="76">
        <v>9121896386</v>
      </c>
      <c r="FM15" s="76">
        <v>22745.54</v>
      </c>
      <c r="FN15" s="14">
        <v>33420</v>
      </c>
      <c r="FO15" s="77">
        <v>43</v>
      </c>
      <c r="FP15" s="24">
        <v>9163321516.4300003</v>
      </c>
      <c r="FQ15" s="76">
        <v>93666081</v>
      </c>
      <c r="FR15" s="76">
        <v>9069655435.4300003</v>
      </c>
      <c r="FS15" s="76">
        <v>21918.35</v>
      </c>
      <c r="FT15" s="14">
        <v>34483</v>
      </c>
      <c r="FU15" s="77">
        <v>43</v>
      </c>
      <c r="FV15" s="37">
        <v>103.18073010173549</v>
      </c>
      <c r="FW15" s="38">
        <v>106.25192580267455</v>
      </c>
      <c r="FY15" s="75">
        <v>9021184746</v>
      </c>
      <c r="FZ15" s="76">
        <v>52206922</v>
      </c>
      <c r="GA15" s="76">
        <v>8968977824</v>
      </c>
      <c r="GB15" s="76">
        <v>21894.550000000003</v>
      </c>
      <c r="GC15" s="76">
        <v>34137</v>
      </c>
      <c r="GD15" s="77">
        <f t="shared" si="0"/>
        <v>44</v>
      </c>
      <c r="GE15" s="26"/>
      <c r="GF15" s="39">
        <v>10375102163</v>
      </c>
      <c r="GG15" s="76">
        <v>250936662</v>
      </c>
      <c r="GH15" s="76">
        <v>10124165501</v>
      </c>
      <c r="GI15" s="76">
        <v>21064.25</v>
      </c>
      <c r="GJ15" s="14">
        <v>40053</v>
      </c>
      <c r="GK15" s="77">
        <f t="shared" si="1"/>
        <v>41</v>
      </c>
      <c r="GL15" s="39">
        <v>10336567554</v>
      </c>
      <c r="GM15" s="76">
        <v>236840086</v>
      </c>
      <c r="GN15" s="295">
        <v>10099727468</v>
      </c>
      <c r="GO15" s="76">
        <v>20130.500000000004</v>
      </c>
      <c r="GP15" s="14">
        <v>41809</v>
      </c>
      <c r="GQ15" s="77">
        <f t="shared" si="2"/>
        <v>41</v>
      </c>
      <c r="GR15" s="37">
        <v>103.65293474298214</v>
      </c>
      <c r="GS15" s="38">
        <v>107.45681998563816</v>
      </c>
      <c r="GU15" s="75">
        <v>9749782756</v>
      </c>
      <c r="GV15" s="76">
        <v>101070275</v>
      </c>
      <c r="GW15" s="76">
        <v>9648712481</v>
      </c>
      <c r="GX15" s="76">
        <v>21277</v>
      </c>
      <c r="GY15" s="76">
        <v>37790</v>
      </c>
      <c r="GZ15" s="77">
        <f t="shared" si="3"/>
        <v>43</v>
      </c>
      <c r="HA15" s="26"/>
      <c r="HB15" s="39">
        <v>10644640808</v>
      </c>
      <c r="HC15" s="76">
        <v>119103005</v>
      </c>
      <c r="HD15" s="76">
        <v>10525537803</v>
      </c>
      <c r="HE15" s="76">
        <v>21085.32</v>
      </c>
      <c r="HF15" s="14">
        <v>41599</v>
      </c>
      <c r="HG15" s="77">
        <f t="shared" si="4"/>
        <v>42</v>
      </c>
      <c r="HH15" s="39">
        <v>10492995401.73</v>
      </c>
      <c r="HI15" s="76">
        <v>118661353</v>
      </c>
      <c r="HJ15" s="295">
        <v>10374334048.73</v>
      </c>
      <c r="HK15" s="76">
        <v>19703.810000000001</v>
      </c>
      <c r="HL15" s="14">
        <v>43876</v>
      </c>
      <c r="HM15" s="77">
        <f t="shared" si="5"/>
        <v>42</v>
      </c>
      <c r="HN15" s="37"/>
      <c r="HO15" s="38"/>
    </row>
    <row r="16" spans="1:223" ht="18" customHeight="1">
      <c r="A16" s="65">
        <v>314</v>
      </c>
      <c r="B16" s="68" t="s">
        <v>19</v>
      </c>
      <c r="C16" s="33" t="s">
        <v>20</v>
      </c>
      <c r="D16" s="41"/>
      <c r="E16" s="75">
        <v>22120690000</v>
      </c>
      <c r="F16" s="76">
        <v>291065000</v>
      </c>
      <c r="G16" s="76">
        <v>21829625000</v>
      </c>
      <c r="H16" s="76">
        <v>64542</v>
      </c>
      <c r="I16" s="76">
        <v>28185</v>
      </c>
      <c r="J16" s="77">
        <v>24</v>
      </c>
      <c r="K16" s="38">
        <v>102.21585551606587</v>
      </c>
      <c r="L16" s="75">
        <v>22470373740</v>
      </c>
      <c r="M16" s="76">
        <v>461979089</v>
      </c>
      <c r="N16" s="76">
        <v>22008394651</v>
      </c>
      <c r="O16" s="76">
        <v>64763</v>
      </c>
      <c r="P16" s="76">
        <v>28319</v>
      </c>
      <c r="Q16" s="77">
        <v>24</v>
      </c>
      <c r="R16" s="75">
        <v>22751698383</v>
      </c>
      <c r="S16" s="76">
        <v>442779607</v>
      </c>
      <c r="T16" s="76">
        <v>22308918776</v>
      </c>
      <c r="U16" s="76">
        <v>62427</v>
      </c>
      <c r="V16" s="76">
        <v>29780</v>
      </c>
      <c r="W16" s="77">
        <v>28</v>
      </c>
      <c r="X16" s="37">
        <v>105.1590804760055</v>
      </c>
      <c r="Y16" s="38">
        <v>101.42706311092947</v>
      </c>
      <c r="AA16" s="75">
        <v>23211143927</v>
      </c>
      <c r="AB16" s="76">
        <v>289143523</v>
      </c>
      <c r="AC16" s="76">
        <v>22922000404</v>
      </c>
      <c r="AD16" s="76">
        <v>65802</v>
      </c>
      <c r="AE16" s="76">
        <v>29029</v>
      </c>
      <c r="AF16" s="77">
        <v>24</v>
      </c>
      <c r="AG16" s="38">
        <v>102.99450062089764</v>
      </c>
      <c r="AH16" s="75">
        <v>23502605580</v>
      </c>
      <c r="AI16" s="76">
        <v>307382852</v>
      </c>
      <c r="AJ16" s="76">
        <v>23195222728</v>
      </c>
      <c r="AK16" s="76">
        <v>66024</v>
      </c>
      <c r="AL16" s="76">
        <v>29276</v>
      </c>
      <c r="AM16" s="77">
        <v>25</v>
      </c>
      <c r="AN16" s="75">
        <v>23609533430</v>
      </c>
      <c r="AO16" s="76">
        <v>288887149</v>
      </c>
      <c r="AP16" s="76">
        <v>23320646281</v>
      </c>
      <c r="AQ16" s="76">
        <v>63443</v>
      </c>
      <c r="AR16" s="76">
        <v>30632</v>
      </c>
      <c r="AS16" s="77">
        <v>26</v>
      </c>
      <c r="AT16" s="37">
        <v>104.63178029785489</v>
      </c>
      <c r="AU16" s="38">
        <v>102.86098052384149</v>
      </c>
      <c r="AW16" s="75">
        <v>24439835544</v>
      </c>
      <c r="AX16" s="76">
        <v>282229416</v>
      </c>
      <c r="AY16" s="76">
        <v>24157606128</v>
      </c>
      <c r="AZ16" s="76">
        <v>65152</v>
      </c>
      <c r="BA16" s="76">
        <v>30899</v>
      </c>
      <c r="BB16" s="27">
        <v>25</v>
      </c>
      <c r="BC16" s="38">
        <v>106.44183402804093</v>
      </c>
      <c r="BD16" s="24">
        <v>24977263016</v>
      </c>
      <c r="BE16" s="76">
        <v>304438515</v>
      </c>
      <c r="BF16" s="76">
        <v>24672824501</v>
      </c>
      <c r="BG16" s="76">
        <v>65891</v>
      </c>
      <c r="BH16" s="14">
        <v>31204</v>
      </c>
      <c r="BI16" s="27">
        <v>24</v>
      </c>
      <c r="BJ16" s="24">
        <v>25162451660.449997</v>
      </c>
      <c r="BK16" s="76">
        <v>311871221.44</v>
      </c>
      <c r="BL16" s="76">
        <v>24850580439.009998</v>
      </c>
      <c r="BM16" s="76">
        <v>64344</v>
      </c>
      <c r="BN16" s="14">
        <v>32185</v>
      </c>
      <c r="BO16" s="27">
        <v>26</v>
      </c>
      <c r="BP16" s="37">
        <v>103.14382771439558</v>
      </c>
      <c r="BQ16" s="38">
        <v>105.06986158265865</v>
      </c>
      <c r="BS16" s="24">
        <v>26286013294</v>
      </c>
      <c r="BT16" s="76">
        <v>288010377</v>
      </c>
      <c r="BU16" s="76">
        <v>25998002917</v>
      </c>
      <c r="BV16" s="76">
        <v>67637</v>
      </c>
      <c r="BW16" s="14">
        <v>32031</v>
      </c>
      <c r="BX16" s="27">
        <v>26</v>
      </c>
      <c r="BY16" s="26">
        <v>103.6635489821677</v>
      </c>
      <c r="BZ16" s="24">
        <v>26634465518</v>
      </c>
      <c r="CA16" s="76">
        <v>309988346</v>
      </c>
      <c r="CB16" s="76">
        <v>26324477172</v>
      </c>
      <c r="CC16" s="76">
        <v>67901</v>
      </c>
      <c r="CD16" s="14">
        <v>32307</v>
      </c>
      <c r="CE16" s="77">
        <v>26</v>
      </c>
      <c r="CF16" s="24">
        <v>26547158387.900002</v>
      </c>
      <c r="CG16" s="76">
        <v>291662623.24000001</v>
      </c>
      <c r="CH16" s="76">
        <v>26255495764.66</v>
      </c>
      <c r="CI16" s="76">
        <v>65050</v>
      </c>
      <c r="CJ16" s="14">
        <v>33635</v>
      </c>
      <c r="CK16" s="77">
        <v>29</v>
      </c>
      <c r="CL16" s="37">
        <v>104.11056427399635</v>
      </c>
      <c r="CM16" s="38">
        <v>104.50520428771166</v>
      </c>
      <c r="CO16" s="75">
        <v>27710930611</v>
      </c>
      <c r="CP16" s="76">
        <v>311829988</v>
      </c>
      <c r="CQ16" s="76">
        <v>27399100623</v>
      </c>
      <c r="CR16" s="76">
        <v>67804.56</v>
      </c>
      <c r="CS16" s="76">
        <v>33674</v>
      </c>
      <c r="CT16" s="45">
        <v>27</v>
      </c>
      <c r="CU16" s="26">
        <v>105.12940588804595</v>
      </c>
      <c r="CV16" s="75">
        <v>29178916196</v>
      </c>
      <c r="CW16" s="76">
        <v>328664410</v>
      </c>
      <c r="CX16" s="76">
        <v>28850251786</v>
      </c>
      <c r="CY16" s="76">
        <v>68104.05</v>
      </c>
      <c r="CZ16" s="76">
        <v>35302</v>
      </c>
      <c r="DA16" s="77">
        <v>27</v>
      </c>
      <c r="DB16" s="24">
        <v>29099550213.310001</v>
      </c>
      <c r="DC16" s="76">
        <v>301021969.84000003</v>
      </c>
      <c r="DD16" s="76">
        <v>28798528243.470001</v>
      </c>
      <c r="DE16" s="76">
        <v>65271</v>
      </c>
      <c r="DF16" s="14">
        <v>36768</v>
      </c>
      <c r="DG16" s="77">
        <v>31</v>
      </c>
      <c r="DH16" s="37">
        <v>104.15273922157384</v>
      </c>
      <c r="DI16" s="38">
        <v>109.31470194737625</v>
      </c>
      <c r="DK16" s="24">
        <v>32695522633</v>
      </c>
      <c r="DL16" s="76">
        <v>309588132</v>
      </c>
      <c r="DM16" s="76">
        <v>32385934501</v>
      </c>
      <c r="DN16" s="76">
        <v>68389.009999999995</v>
      </c>
      <c r="DO16" s="14">
        <v>39463</v>
      </c>
      <c r="DP16" s="77">
        <v>25</v>
      </c>
      <c r="DQ16" s="26">
        <v>117.19130486428699</v>
      </c>
      <c r="DR16" s="24">
        <v>32761301493</v>
      </c>
      <c r="DS16" s="76">
        <v>329803107</v>
      </c>
      <c r="DT16" s="76">
        <v>32431498386</v>
      </c>
      <c r="DU16" s="76">
        <v>68627</v>
      </c>
      <c r="DV16" s="14">
        <v>39381</v>
      </c>
      <c r="DW16" s="77">
        <v>27</v>
      </c>
      <c r="DX16" s="24">
        <v>32818019824.810001</v>
      </c>
      <c r="DY16" s="76">
        <v>309146080.57999998</v>
      </c>
      <c r="DZ16" s="76">
        <v>32508873744.23</v>
      </c>
      <c r="EA16" s="76">
        <v>65761.03</v>
      </c>
      <c r="EB16" s="14">
        <v>41196</v>
      </c>
      <c r="EC16" s="77">
        <v>29</v>
      </c>
      <c r="ED16" s="37">
        <v>104.60882151291231</v>
      </c>
      <c r="EE16" s="38">
        <v>112.04308093994777</v>
      </c>
      <c r="EG16" s="24">
        <v>34646773704</v>
      </c>
      <c r="EH16" s="76">
        <v>307116040</v>
      </c>
      <c r="EI16" s="76">
        <v>34339657664</v>
      </c>
      <c r="EJ16" s="76">
        <v>68523.88</v>
      </c>
      <c r="EK16" s="14">
        <v>41761</v>
      </c>
      <c r="EL16" s="77">
        <v>25</v>
      </c>
      <c r="EM16" s="26">
        <v>105.82317613967514</v>
      </c>
      <c r="EN16" s="24">
        <v>35134226046</v>
      </c>
      <c r="EO16" s="76">
        <v>322333021</v>
      </c>
      <c r="EP16" s="76">
        <v>34811893025</v>
      </c>
      <c r="EQ16" s="76">
        <v>69820.209999999992</v>
      </c>
      <c r="ER16" s="14">
        <v>41549</v>
      </c>
      <c r="ES16" s="77">
        <v>27</v>
      </c>
      <c r="ET16" s="24">
        <v>35226141789.760002</v>
      </c>
      <c r="EU16" s="76">
        <v>319954893.62</v>
      </c>
      <c r="EV16" s="76">
        <v>34906186896.139999</v>
      </c>
      <c r="EW16" s="76">
        <v>66155.19</v>
      </c>
      <c r="EX16" s="14">
        <v>43970</v>
      </c>
      <c r="EY16" s="27">
        <v>27</v>
      </c>
      <c r="EZ16" s="37">
        <v>105.82685503862909</v>
      </c>
      <c r="FA16" s="38">
        <v>106.73366346247208</v>
      </c>
      <c r="FC16" s="24">
        <v>36162703619</v>
      </c>
      <c r="FD16" s="76">
        <v>303066725</v>
      </c>
      <c r="FE16" s="76">
        <v>35859636894</v>
      </c>
      <c r="FF16" s="76">
        <v>69712.22</v>
      </c>
      <c r="FG16" s="14">
        <v>42866</v>
      </c>
      <c r="FH16" s="77">
        <v>29</v>
      </c>
      <c r="FI16" s="26">
        <v>102.64600943463998</v>
      </c>
      <c r="FJ16" s="24">
        <v>37402069793</v>
      </c>
      <c r="FK16" s="76">
        <v>322496158</v>
      </c>
      <c r="FL16" s="76">
        <v>37079573635</v>
      </c>
      <c r="FM16" s="76">
        <v>70112.049999999988</v>
      </c>
      <c r="FN16" s="14">
        <v>44072</v>
      </c>
      <c r="FO16" s="77">
        <v>25</v>
      </c>
      <c r="FP16" s="24">
        <v>37283417504.639992</v>
      </c>
      <c r="FQ16" s="76">
        <v>305844934.36000001</v>
      </c>
      <c r="FR16" s="76">
        <v>36977572570.279991</v>
      </c>
      <c r="FS16" s="76">
        <v>66079.33</v>
      </c>
      <c r="FT16" s="14">
        <v>46633</v>
      </c>
      <c r="FU16" s="77">
        <v>28</v>
      </c>
      <c r="FV16" s="37">
        <v>105.81094572517698</v>
      </c>
      <c r="FW16" s="38">
        <v>106.05640209233569</v>
      </c>
      <c r="FY16" s="75">
        <v>41045927465</v>
      </c>
      <c r="FZ16" s="76">
        <v>369585849</v>
      </c>
      <c r="GA16" s="76">
        <v>40676341616</v>
      </c>
      <c r="GB16" s="76">
        <v>72901.209999999992</v>
      </c>
      <c r="GC16" s="76">
        <v>46497</v>
      </c>
      <c r="GD16" s="77">
        <f t="shared" si="0"/>
        <v>28</v>
      </c>
      <c r="GE16" s="26"/>
      <c r="GF16" s="39">
        <v>41698318023</v>
      </c>
      <c r="GG16" s="76">
        <v>587123391</v>
      </c>
      <c r="GH16" s="76">
        <v>41111194632</v>
      </c>
      <c r="GI16" s="76">
        <v>73180.570000000007</v>
      </c>
      <c r="GJ16" s="14">
        <v>46815</v>
      </c>
      <c r="GK16" s="77">
        <f t="shared" si="1"/>
        <v>28</v>
      </c>
      <c r="GL16" s="39">
        <v>41771543699.359993</v>
      </c>
      <c r="GM16" s="76">
        <v>618767719.35000002</v>
      </c>
      <c r="GN16" s="295">
        <v>41152775980.009995</v>
      </c>
      <c r="GO16" s="76">
        <v>66191.39</v>
      </c>
      <c r="GP16" s="14">
        <v>51810</v>
      </c>
      <c r="GQ16" s="77">
        <f t="shared" si="2"/>
        <v>26</v>
      </c>
      <c r="GR16" s="37">
        <v>104.15273922157384</v>
      </c>
      <c r="GS16" s="38">
        <v>109.31470194737625</v>
      </c>
      <c r="GU16" s="75">
        <v>44141148721</v>
      </c>
      <c r="GV16" s="76">
        <v>461607280</v>
      </c>
      <c r="GW16" s="76">
        <v>43679541441</v>
      </c>
      <c r="GX16" s="76">
        <v>73134.259999999995</v>
      </c>
      <c r="GY16" s="76">
        <v>49771</v>
      </c>
      <c r="GZ16" s="77">
        <f t="shared" si="3"/>
        <v>30</v>
      </c>
      <c r="HA16" s="26"/>
      <c r="HB16" s="39">
        <v>44971697361</v>
      </c>
      <c r="HC16" s="76">
        <v>581299151</v>
      </c>
      <c r="HD16" s="76">
        <v>44390398210</v>
      </c>
      <c r="HE16" s="76">
        <v>73138.14</v>
      </c>
      <c r="HF16" s="14">
        <v>50578</v>
      </c>
      <c r="HG16" s="77">
        <f t="shared" si="4"/>
        <v>30</v>
      </c>
      <c r="HH16" s="39">
        <v>44942871584.330002</v>
      </c>
      <c r="HI16" s="76">
        <v>667047990.85000002</v>
      </c>
      <c r="HJ16" s="295">
        <v>44275823593.480003</v>
      </c>
      <c r="HK16" s="76">
        <v>66338.189999999988</v>
      </c>
      <c r="HL16" s="14">
        <v>55619</v>
      </c>
      <c r="HM16" s="77">
        <f t="shared" si="5"/>
        <v>25</v>
      </c>
      <c r="HN16" s="37"/>
      <c r="HO16" s="38"/>
    </row>
    <row r="17" spans="1:223" ht="18" customHeight="1">
      <c r="A17" s="65">
        <v>315</v>
      </c>
      <c r="B17" s="68" t="s">
        <v>21</v>
      </c>
      <c r="C17" s="33" t="s">
        <v>22</v>
      </c>
      <c r="D17" s="41"/>
      <c r="E17" s="75">
        <v>589397000</v>
      </c>
      <c r="F17" s="76">
        <v>10584000</v>
      </c>
      <c r="G17" s="76">
        <v>578813000</v>
      </c>
      <c r="H17" s="76">
        <v>1789</v>
      </c>
      <c r="I17" s="76">
        <v>26962</v>
      </c>
      <c r="J17" s="77">
        <v>27</v>
      </c>
      <c r="K17" s="38">
        <v>102.46646144491316</v>
      </c>
      <c r="L17" s="75">
        <v>594576978</v>
      </c>
      <c r="M17" s="76">
        <v>10789000</v>
      </c>
      <c r="N17" s="76">
        <v>583787978</v>
      </c>
      <c r="O17" s="76">
        <v>1797</v>
      </c>
      <c r="P17" s="76">
        <v>27072</v>
      </c>
      <c r="Q17" s="77">
        <v>29</v>
      </c>
      <c r="R17" s="75">
        <v>612947489</v>
      </c>
      <c r="S17" s="76">
        <v>15589405</v>
      </c>
      <c r="T17" s="76">
        <v>597358084</v>
      </c>
      <c r="U17" s="76">
        <v>1663</v>
      </c>
      <c r="V17" s="76">
        <v>29934</v>
      </c>
      <c r="W17" s="77">
        <v>27</v>
      </c>
      <c r="X17" s="37">
        <v>110.57180851063831</v>
      </c>
      <c r="Y17" s="38">
        <v>100.21090689966859</v>
      </c>
      <c r="AA17" s="75">
        <v>622141221</v>
      </c>
      <c r="AB17" s="76">
        <v>8315444</v>
      </c>
      <c r="AC17" s="76">
        <v>613825777</v>
      </c>
      <c r="AD17" s="76">
        <v>1808</v>
      </c>
      <c r="AE17" s="76">
        <v>28292</v>
      </c>
      <c r="AF17" s="77">
        <v>26</v>
      </c>
      <c r="AG17" s="38">
        <v>104.93286848156664</v>
      </c>
      <c r="AH17" s="75">
        <v>630318192</v>
      </c>
      <c r="AI17" s="76">
        <v>8315444</v>
      </c>
      <c r="AJ17" s="76">
        <v>622002748</v>
      </c>
      <c r="AK17" s="76">
        <v>1836</v>
      </c>
      <c r="AL17" s="76">
        <v>28232</v>
      </c>
      <c r="AM17" s="77">
        <v>28</v>
      </c>
      <c r="AN17" s="75">
        <v>640613297</v>
      </c>
      <c r="AO17" s="76">
        <v>15837606</v>
      </c>
      <c r="AP17" s="76">
        <v>624775691</v>
      </c>
      <c r="AQ17" s="76">
        <v>1708</v>
      </c>
      <c r="AR17" s="76">
        <v>30483</v>
      </c>
      <c r="AS17" s="77">
        <v>27</v>
      </c>
      <c r="AT17" s="37">
        <v>107.97322187588551</v>
      </c>
      <c r="AU17" s="38">
        <v>101.83403487672879</v>
      </c>
      <c r="AW17" s="75">
        <v>648170721</v>
      </c>
      <c r="AX17" s="76">
        <v>9234027</v>
      </c>
      <c r="AY17" s="76">
        <v>638936694</v>
      </c>
      <c r="AZ17" s="76">
        <v>1744</v>
      </c>
      <c r="BA17" s="76">
        <v>30530</v>
      </c>
      <c r="BB17" s="27">
        <v>26</v>
      </c>
      <c r="BC17" s="38">
        <v>107.91036335359819</v>
      </c>
      <c r="BD17" s="24">
        <v>669461270</v>
      </c>
      <c r="BE17" s="76">
        <v>22092502</v>
      </c>
      <c r="BF17" s="76">
        <v>647368768</v>
      </c>
      <c r="BG17" s="76">
        <v>1765</v>
      </c>
      <c r="BH17" s="14">
        <v>30565</v>
      </c>
      <c r="BI17" s="27">
        <v>26</v>
      </c>
      <c r="BJ17" s="24">
        <v>677434471</v>
      </c>
      <c r="BK17" s="76">
        <v>21310146</v>
      </c>
      <c r="BL17" s="76">
        <v>656124325</v>
      </c>
      <c r="BM17" s="76">
        <v>1725</v>
      </c>
      <c r="BN17" s="14">
        <v>31697</v>
      </c>
      <c r="BO17" s="27">
        <v>29</v>
      </c>
      <c r="BP17" s="37">
        <v>103.70358252903648</v>
      </c>
      <c r="BQ17" s="38">
        <v>103.98254764950956</v>
      </c>
      <c r="BS17" s="24">
        <v>720624899</v>
      </c>
      <c r="BT17" s="76">
        <v>9648152</v>
      </c>
      <c r="BU17" s="76">
        <v>710976747</v>
      </c>
      <c r="BV17" s="76">
        <v>1812</v>
      </c>
      <c r="BW17" s="14">
        <v>32698</v>
      </c>
      <c r="BX17" s="27">
        <v>23</v>
      </c>
      <c r="BY17" s="26">
        <v>107.10121192269899</v>
      </c>
      <c r="BZ17" s="24">
        <v>748739254</v>
      </c>
      <c r="CA17" s="76">
        <v>10873611</v>
      </c>
      <c r="CB17" s="76">
        <v>737865643</v>
      </c>
      <c r="CC17" s="76">
        <v>1836</v>
      </c>
      <c r="CD17" s="14">
        <v>33491</v>
      </c>
      <c r="CE17" s="77">
        <v>23</v>
      </c>
      <c r="CF17" s="24">
        <v>702553334</v>
      </c>
      <c r="CG17" s="76">
        <v>15668952</v>
      </c>
      <c r="CH17" s="76">
        <v>686884382</v>
      </c>
      <c r="CI17" s="76">
        <v>1698</v>
      </c>
      <c r="CJ17" s="14">
        <v>33710</v>
      </c>
      <c r="CK17" s="77">
        <v>28</v>
      </c>
      <c r="CL17" s="37">
        <v>100.65390701979638</v>
      </c>
      <c r="CM17" s="38">
        <v>106.35075874688455</v>
      </c>
      <c r="CO17" s="75">
        <v>782751388</v>
      </c>
      <c r="CP17" s="76">
        <v>14389242</v>
      </c>
      <c r="CQ17" s="76">
        <v>768362146</v>
      </c>
      <c r="CR17" s="76">
        <v>1842.83</v>
      </c>
      <c r="CS17" s="76">
        <v>34746</v>
      </c>
      <c r="CT17" s="45">
        <v>24</v>
      </c>
      <c r="CU17" s="26">
        <v>106.263380023243</v>
      </c>
      <c r="CV17" s="75">
        <v>819509098</v>
      </c>
      <c r="CW17" s="76">
        <v>37793667</v>
      </c>
      <c r="CX17" s="76">
        <v>781715431</v>
      </c>
      <c r="CY17" s="76">
        <v>1845.42</v>
      </c>
      <c r="CZ17" s="76">
        <v>35300</v>
      </c>
      <c r="DA17" s="77">
        <v>28</v>
      </c>
      <c r="DB17" s="24">
        <v>765213881</v>
      </c>
      <c r="DC17" s="76">
        <v>14917962</v>
      </c>
      <c r="DD17" s="76">
        <v>750295919</v>
      </c>
      <c r="DE17" s="76">
        <v>1714</v>
      </c>
      <c r="DF17" s="14">
        <v>36479</v>
      </c>
      <c r="DG17" s="77">
        <v>33</v>
      </c>
      <c r="DH17" s="37">
        <v>103.33994334277621</v>
      </c>
      <c r="DI17" s="38">
        <v>108.21417976861466</v>
      </c>
      <c r="DK17" s="24">
        <v>821043202</v>
      </c>
      <c r="DL17" s="76">
        <v>17890460</v>
      </c>
      <c r="DM17" s="76">
        <v>803152742</v>
      </c>
      <c r="DN17" s="76">
        <v>1807.97</v>
      </c>
      <c r="DO17" s="14">
        <v>37019</v>
      </c>
      <c r="DP17" s="77">
        <v>30</v>
      </c>
      <c r="DQ17" s="26">
        <v>106.54176020261326</v>
      </c>
      <c r="DR17" s="24">
        <v>841155467</v>
      </c>
      <c r="DS17" s="76">
        <v>18650353</v>
      </c>
      <c r="DT17" s="76">
        <v>822505114</v>
      </c>
      <c r="DU17" s="76">
        <v>1849</v>
      </c>
      <c r="DV17" s="14">
        <v>37070</v>
      </c>
      <c r="DW17" s="77">
        <v>30</v>
      </c>
      <c r="DX17" s="24">
        <v>838752046</v>
      </c>
      <c r="DY17" s="76">
        <v>35067132</v>
      </c>
      <c r="DZ17" s="76">
        <v>803684914</v>
      </c>
      <c r="EA17" s="76">
        <v>1707.93</v>
      </c>
      <c r="EB17" s="14">
        <v>39213</v>
      </c>
      <c r="EC17" s="77">
        <v>35</v>
      </c>
      <c r="ED17" s="37">
        <v>105.78095495009441</v>
      </c>
      <c r="EE17" s="38">
        <v>107.49472299131007</v>
      </c>
      <c r="EG17" s="24">
        <v>915689567</v>
      </c>
      <c r="EH17" s="76">
        <v>42170929</v>
      </c>
      <c r="EI17" s="76">
        <v>873518638</v>
      </c>
      <c r="EJ17" s="76">
        <v>1907.1</v>
      </c>
      <c r="EK17" s="14">
        <v>38170</v>
      </c>
      <c r="EL17" s="77">
        <v>34</v>
      </c>
      <c r="EM17" s="26">
        <v>103.10921418730923</v>
      </c>
      <c r="EN17" s="24">
        <v>924799444</v>
      </c>
      <c r="EO17" s="76">
        <v>42542609</v>
      </c>
      <c r="EP17" s="76">
        <v>882256835</v>
      </c>
      <c r="EQ17" s="76">
        <v>1884.08</v>
      </c>
      <c r="ER17" s="14">
        <v>39022</v>
      </c>
      <c r="ES17" s="77">
        <v>30</v>
      </c>
      <c r="ET17" s="24">
        <v>921442889</v>
      </c>
      <c r="EU17" s="76">
        <v>42999849</v>
      </c>
      <c r="EV17" s="76">
        <v>878443040</v>
      </c>
      <c r="EW17" s="76">
        <v>1736.5100000000002</v>
      </c>
      <c r="EX17" s="14">
        <v>42156</v>
      </c>
      <c r="EY17" s="27">
        <v>33</v>
      </c>
      <c r="EZ17" s="37">
        <v>108.03136692122392</v>
      </c>
      <c r="FA17" s="38">
        <v>107.50516410374111</v>
      </c>
      <c r="FC17" s="24">
        <v>939507314</v>
      </c>
      <c r="FD17" s="76">
        <v>47646390</v>
      </c>
      <c r="FE17" s="76">
        <v>891860924</v>
      </c>
      <c r="FF17" s="76">
        <v>1801.5500000000002</v>
      </c>
      <c r="FG17" s="14">
        <v>41254</v>
      </c>
      <c r="FH17" s="77">
        <v>32</v>
      </c>
      <c r="FI17" s="26">
        <v>108.07964369924024</v>
      </c>
      <c r="FJ17" s="24">
        <v>940647550</v>
      </c>
      <c r="FK17" s="76">
        <v>47646390</v>
      </c>
      <c r="FL17" s="76">
        <v>893001160</v>
      </c>
      <c r="FM17" s="76">
        <v>1806.73</v>
      </c>
      <c r="FN17" s="14">
        <v>41189</v>
      </c>
      <c r="FO17" s="77">
        <v>33</v>
      </c>
      <c r="FP17" s="24">
        <v>952674799</v>
      </c>
      <c r="FQ17" s="76">
        <v>51105458</v>
      </c>
      <c r="FR17" s="76">
        <v>901569341</v>
      </c>
      <c r="FS17" s="76">
        <v>1724</v>
      </c>
      <c r="FT17" s="14">
        <v>43579</v>
      </c>
      <c r="FU17" s="77">
        <v>34</v>
      </c>
      <c r="FV17" s="37">
        <v>105.80252009031537</v>
      </c>
      <c r="FW17" s="38">
        <v>103.37555745326881</v>
      </c>
      <c r="FY17" s="75">
        <v>1156038538</v>
      </c>
      <c r="FZ17" s="76">
        <v>41250521</v>
      </c>
      <c r="GA17" s="76">
        <v>1114788017</v>
      </c>
      <c r="GB17" s="76">
        <v>1958.0300000000002</v>
      </c>
      <c r="GC17" s="76">
        <v>47445</v>
      </c>
      <c r="GD17" s="77">
        <f t="shared" si="0"/>
        <v>26</v>
      </c>
      <c r="GE17" s="26"/>
      <c r="GF17" s="39">
        <v>1242800385</v>
      </c>
      <c r="GG17" s="76">
        <v>59301791</v>
      </c>
      <c r="GH17" s="76">
        <v>1183498594</v>
      </c>
      <c r="GI17" s="76">
        <v>1996.1399999999999</v>
      </c>
      <c r="GJ17" s="14">
        <v>49408</v>
      </c>
      <c r="GK17" s="77">
        <f t="shared" si="1"/>
        <v>26</v>
      </c>
      <c r="GL17" s="39">
        <v>1163282750</v>
      </c>
      <c r="GM17" s="76">
        <v>50174238</v>
      </c>
      <c r="GN17" s="295">
        <v>1113108512</v>
      </c>
      <c r="GO17" s="76">
        <v>1849.3500000000001</v>
      </c>
      <c r="GP17" s="14">
        <v>50158</v>
      </c>
      <c r="GQ17" s="77">
        <f t="shared" si="2"/>
        <v>29</v>
      </c>
      <c r="GR17" s="37">
        <v>103.33994334277621</v>
      </c>
      <c r="GS17" s="38">
        <v>108.21417976861466</v>
      </c>
      <c r="GU17" s="75">
        <v>1287861049</v>
      </c>
      <c r="GV17" s="76">
        <v>42795470</v>
      </c>
      <c r="GW17" s="76">
        <v>1245065579</v>
      </c>
      <c r="GX17" s="76">
        <v>2020.14</v>
      </c>
      <c r="GY17" s="76">
        <v>51361</v>
      </c>
      <c r="GZ17" s="77">
        <f t="shared" si="3"/>
        <v>28</v>
      </c>
      <c r="HA17" s="26"/>
      <c r="HB17" s="39">
        <v>1296310514</v>
      </c>
      <c r="HC17" s="76">
        <v>48292949</v>
      </c>
      <c r="HD17" s="76">
        <v>1248017565</v>
      </c>
      <c r="HE17" s="76">
        <v>2050.9499999999998</v>
      </c>
      <c r="HF17" s="14">
        <v>50709</v>
      </c>
      <c r="HG17" s="77">
        <f t="shared" si="4"/>
        <v>28</v>
      </c>
      <c r="HH17" s="39">
        <v>1287381340</v>
      </c>
      <c r="HI17" s="76">
        <v>59538249</v>
      </c>
      <c r="HJ17" s="295">
        <v>1227843091</v>
      </c>
      <c r="HK17" s="76">
        <v>1926.2799999999997</v>
      </c>
      <c r="HL17" s="14">
        <v>53118</v>
      </c>
      <c r="HM17" s="77">
        <f t="shared" si="5"/>
        <v>30</v>
      </c>
      <c r="HN17" s="37"/>
      <c r="HO17" s="38"/>
    </row>
    <row r="18" spans="1:223" ht="18" customHeight="1">
      <c r="A18" s="65">
        <v>317</v>
      </c>
      <c r="B18" s="68" t="s">
        <v>23</v>
      </c>
      <c r="C18" s="33" t="s">
        <v>24</v>
      </c>
      <c r="D18" s="41"/>
      <c r="E18" s="75">
        <v>314686000</v>
      </c>
      <c r="F18" s="76">
        <v>14403000</v>
      </c>
      <c r="G18" s="76">
        <v>300283000</v>
      </c>
      <c r="H18" s="76">
        <v>647</v>
      </c>
      <c r="I18" s="76">
        <v>38676</v>
      </c>
      <c r="J18" s="77">
        <v>3</v>
      </c>
      <c r="K18" s="38">
        <v>99.950898048843513</v>
      </c>
      <c r="L18" s="75">
        <v>315525000</v>
      </c>
      <c r="M18" s="76">
        <v>22163000</v>
      </c>
      <c r="N18" s="76">
        <v>293362000</v>
      </c>
      <c r="O18" s="76">
        <v>648</v>
      </c>
      <c r="P18" s="76">
        <v>37727</v>
      </c>
      <c r="Q18" s="77">
        <v>4</v>
      </c>
      <c r="R18" s="75">
        <v>294103710</v>
      </c>
      <c r="S18" s="76">
        <v>15934764</v>
      </c>
      <c r="T18" s="76">
        <v>278168946</v>
      </c>
      <c r="U18" s="76">
        <v>602</v>
      </c>
      <c r="V18" s="76">
        <v>38506</v>
      </c>
      <c r="W18" s="77">
        <v>10</v>
      </c>
      <c r="X18" s="37">
        <v>102.06483420362076</v>
      </c>
      <c r="Y18" s="38">
        <v>99.627425614489013</v>
      </c>
      <c r="AA18" s="75">
        <v>338787512</v>
      </c>
      <c r="AB18" s="76">
        <v>35512962</v>
      </c>
      <c r="AC18" s="76">
        <v>303274550</v>
      </c>
      <c r="AD18" s="76">
        <v>627</v>
      </c>
      <c r="AE18" s="76">
        <v>40308</v>
      </c>
      <c r="AF18" s="77">
        <v>3</v>
      </c>
      <c r="AG18" s="38">
        <v>104.21967111386907</v>
      </c>
      <c r="AH18" s="75">
        <v>345614086</v>
      </c>
      <c r="AI18" s="76">
        <v>37212962</v>
      </c>
      <c r="AJ18" s="76">
        <v>308401124</v>
      </c>
      <c r="AK18" s="76">
        <v>641</v>
      </c>
      <c r="AL18" s="76">
        <v>40094</v>
      </c>
      <c r="AM18" s="77">
        <v>2</v>
      </c>
      <c r="AN18" s="75">
        <v>300494639</v>
      </c>
      <c r="AO18" s="76">
        <v>19514392.000000004</v>
      </c>
      <c r="AP18" s="76">
        <v>280980247</v>
      </c>
      <c r="AQ18" s="76">
        <v>614</v>
      </c>
      <c r="AR18" s="76">
        <v>38135</v>
      </c>
      <c r="AS18" s="77">
        <v>11</v>
      </c>
      <c r="AT18" s="37">
        <v>95.113982141966375</v>
      </c>
      <c r="AU18" s="38">
        <v>99.036513790058692</v>
      </c>
      <c r="AW18" s="75">
        <v>379944224</v>
      </c>
      <c r="AX18" s="76">
        <v>25794874</v>
      </c>
      <c r="AY18" s="76">
        <v>354149350</v>
      </c>
      <c r="AZ18" s="76">
        <v>681</v>
      </c>
      <c r="BA18" s="76">
        <v>43337</v>
      </c>
      <c r="BB18" s="27">
        <v>4</v>
      </c>
      <c r="BC18" s="38">
        <v>107.51463729284509</v>
      </c>
      <c r="BD18" s="75">
        <v>381055065</v>
      </c>
      <c r="BE18" s="76">
        <v>25794874</v>
      </c>
      <c r="BF18" s="76">
        <v>355260191</v>
      </c>
      <c r="BG18" s="76">
        <v>699</v>
      </c>
      <c r="BH18" s="76">
        <v>42353</v>
      </c>
      <c r="BI18" s="27">
        <v>4</v>
      </c>
      <c r="BJ18" s="24">
        <v>326609208.42000002</v>
      </c>
      <c r="BK18" s="76">
        <v>20279050.600000001</v>
      </c>
      <c r="BL18" s="76">
        <v>306330157.81999999</v>
      </c>
      <c r="BM18" s="76">
        <v>641</v>
      </c>
      <c r="BN18" s="14">
        <v>39825</v>
      </c>
      <c r="BO18" s="27">
        <v>13</v>
      </c>
      <c r="BP18" s="37">
        <v>94.031119401223052</v>
      </c>
      <c r="BQ18" s="38">
        <v>104.43162449193655</v>
      </c>
      <c r="BS18" s="24">
        <v>433302106</v>
      </c>
      <c r="BT18" s="76">
        <v>35770614</v>
      </c>
      <c r="BU18" s="76">
        <v>397531492</v>
      </c>
      <c r="BV18" s="76">
        <v>746</v>
      </c>
      <c r="BW18" s="14">
        <v>44407</v>
      </c>
      <c r="BX18" s="27">
        <v>2</v>
      </c>
      <c r="BY18" s="26">
        <v>102.46902185199713</v>
      </c>
      <c r="BZ18" s="24">
        <v>440129203</v>
      </c>
      <c r="CA18" s="76">
        <v>35770614</v>
      </c>
      <c r="CB18" s="76">
        <v>404358589</v>
      </c>
      <c r="CC18" s="76">
        <v>756</v>
      </c>
      <c r="CD18" s="14">
        <v>44572</v>
      </c>
      <c r="CE18" s="77">
        <v>2</v>
      </c>
      <c r="CF18" s="24">
        <v>340067092</v>
      </c>
      <c r="CG18" s="76">
        <v>17216062</v>
      </c>
      <c r="CH18" s="76">
        <v>322851030</v>
      </c>
      <c r="CI18" s="76">
        <v>632</v>
      </c>
      <c r="CJ18" s="14">
        <v>42570</v>
      </c>
      <c r="CK18" s="77">
        <v>10</v>
      </c>
      <c r="CL18" s="37">
        <v>95.50839091806516</v>
      </c>
      <c r="CM18" s="38">
        <v>106.89265536723165</v>
      </c>
      <c r="CO18" s="75">
        <v>464381157</v>
      </c>
      <c r="CP18" s="76">
        <v>30129845</v>
      </c>
      <c r="CQ18" s="76">
        <v>434251312</v>
      </c>
      <c r="CR18" s="76">
        <v>790</v>
      </c>
      <c r="CS18" s="76">
        <v>45807</v>
      </c>
      <c r="CT18" s="45">
        <v>4</v>
      </c>
      <c r="CU18" s="26">
        <v>103.15265611277502</v>
      </c>
      <c r="CV18" s="75">
        <v>468737632</v>
      </c>
      <c r="CW18" s="76">
        <v>30129845</v>
      </c>
      <c r="CX18" s="76">
        <v>438607787</v>
      </c>
      <c r="CY18" s="76">
        <v>790</v>
      </c>
      <c r="CZ18" s="76">
        <v>46267</v>
      </c>
      <c r="DA18" s="77">
        <v>6</v>
      </c>
      <c r="DB18" s="24">
        <v>397445301.54000002</v>
      </c>
      <c r="DC18" s="76">
        <v>23607928.539999999</v>
      </c>
      <c r="DD18" s="76">
        <v>373837373</v>
      </c>
      <c r="DE18" s="76">
        <v>664</v>
      </c>
      <c r="DF18" s="14">
        <v>46917</v>
      </c>
      <c r="DG18" s="77">
        <v>11</v>
      </c>
      <c r="DH18" s="37">
        <v>101.40488901376791</v>
      </c>
      <c r="DI18" s="38">
        <v>110.21141649048624</v>
      </c>
      <c r="DK18" s="24">
        <v>412786822</v>
      </c>
      <c r="DL18" s="76">
        <v>19265893</v>
      </c>
      <c r="DM18" s="76">
        <v>393520929</v>
      </c>
      <c r="DN18" s="76">
        <v>817</v>
      </c>
      <c r="DO18" s="14">
        <v>40139</v>
      </c>
      <c r="DP18" s="77">
        <v>24</v>
      </c>
      <c r="DQ18" s="26">
        <v>87.626345318401121</v>
      </c>
      <c r="DR18" s="24">
        <v>412786822</v>
      </c>
      <c r="DS18" s="76">
        <v>18813506</v>
      </c>
      <c r="DT18" s="76">
        <v>393973316</v>
      </c>
      <c r="DU18" s="76">
        <v>817</v>
      </c>
      <c r="DV18" s="14">
        <v>40185</v>
      </c>
      <c r="DW18" s="77">
        <v>25</v>
      </c>
      <c r="DX18" s="24">
        <v>449908528</v>
      </c>
      <c r="DY18" s="76">
        <v>23699601</v>
      </c>
      <c r="DZ18" s="76">
        <v>426208927</v>
      </c>
      <c r="EA18" s="76">
        <v>695.81</v>
      </c>
      <c r="EB18" s="14">
        <v>51045</v>
      </c>
      <c r="EC18" s="77">
        <v>11</v>
      </c>
      <c r="ED18" s="37">
        <v>127.02500933184024</v>
      </c>
      <c r="EE18" s="38">
        <v>108.79851652918984</v>
      </c>
      <c r="EG18" s="24">
        <v>467581916</v>
      </c>
      <c r="EH18" s="76">
        <v>20848539</v>
      </c>
      <c r="EI18" s="76">
        <v>446733377</v>
      </c>
      <c r="EJ18" s="76">
        <v>771</v>
      </c>
      <c r="EK18" s="14">
        <v>48285</v>
      </c>
      <c r="EL18" s="77">
        <v>13</v>
      </c>
      <c r="EM18" s="26">
        <v>120.29447669349011</v>
      </c>
      <c r="EN18" s="24">
        <v>468062696</v>
      </c>
      <c r="EO18" s="76">
        <v>20848539</v>
      </c>
      <c r="EP18" s="76">
        <v>447214157</v>
      </c>
      <c r="EQ18" s="76">
        <v>772</v>
      </c>
      <c r="ER18" s="14">
        <v>48274</v>
      </c>
      <c r="ES18" s="77">
        <v>14</v>
      </c>
      <c r="ET18" s="24">
        <v>474768935</v>
      </c>
      <c r="EU18" s="76">
        <v>25955442</v>
      </c>
      <c r="EV18" s="76">
        <v>448813493</v>
      </c>
      <c r="EW18" s="76">
        <v>716.34999999999991</v>
      </c>
      <c r="EX18" s="14">
        <v>52211</v>
      </c>
      <c r="EY18" s="27">
        <v>10</v>
      </c>
      <c r="EZ18" s="37">
        <v>108.15552885611301</v>
      </c>
      <c r="FA18" s="38">
        <v>102.28425898716817</v>
      </c>
      <c r="FC18" s="24">
        <v>518260933</v>
      </c>
      <c r="FD18" s="76">
        <v>46557932</v>
      </c>
      <c r="FE18" s="76">
        <v>471703001</v>
      </c>
      <c r="FF18" s="76">
        <v>831.5</v>
      </c>
      <c r="FG18" s="14">
        <v>47274</v>
      </c>
      <c r="FH18" s="77">
        <v>19</v>
      </c>
      <c r="FI18" s="26">
        <v>97.906182044113081</v>
      </c>
      <c r="FJ18" s="24">
        <v>518919973</v>
      </c>
      <c r="FK18" s="76">
        <v>46557932</v>
      </c>
      <c r="FL18" s="76">
        <v>472362041</v>
      </c>
      <c r="FM18" s="76">
        <v>843</v>
      </c>
      <c r="FN18" s="14">
        <v>46695</v>
      </c>
      <c r="FO18" s="77">
        <v>21</v>
      </c>
      <c r="FP18" s="24">
        <v>509797396.00000006</v>
      </c>
      <c r="FQ18" s="76">
        <v>45558207.000000007</v>
      </c>
      <c r="FR18" s="76">
        <v>464239189.00000006</v>
      </c>
      <c r="FS18" s="76">
        <v>766.6</v>
      </c>
      <c r="FT18" s="14">
        <v>50465</v>
      </c>
      <c r="FU18" s="77">
        <v>19</v>
      </c>
      <c r="FV18" s="37">
        <v>108.0736695577685</v>
      </c>
      <c r="FW18" s="38">
        <v>96.655877114018125</v>
      </c>
      <c r="FY18" s="75">
        <v>616504956</v>
      </c>
      <c r="FZ18" s="76">
        <v>51735000</v>
      </c>
      <c r="GA18" s="76">
        <v>564769956</v>
      </c>
      <c r="GB18" s="76">
        <v>875.1099999999999</v>
      </c>
      <c r="GC18" s="76">
        <v>53781</v>
      </c>
      <c r="GD18" s="77">
        <f t="shared" si="0"/>
        <v>10</v>
      </c>
      <c r="GE18" s="26"/>
      <c r="GF18" s="39">
        <v>640053526</v>
      </c>
      <c r="GG18" s="76">
        <v>58993948</v>
      </c>
      <c r="GH18" s="76">
        <v>581059578</v>
      </c>
      <c r="GI18" s="76">
        <v>909.14</v>
      </c>
      <c r="GJ18" s="14">
        <v>53261</v>
      </c>
      <c r="GK18" s="77">
        <f t="shared" si="1"/>
        <v>16</v>
      </c>
      <c r="GL18" s="39">
        <v>615190056.00999999</v>
      </c>
      <c r="GM18" s="76">
        <v>37797255.009999998</v>
      </c>
      <c r="GN18" s="295">
        <v>577392801</v>
      </c>
      <c r="GO18" s="76">
        <v>807.01</v>
      </c>
      <c r="GP18" s="14">
        <v>59623</v>
      </c>
      <c r="GQ18" s="77">
        <f t="shared" si="2"/>
        <v>9</v>
      </c>
      <c r="GR18" s="37">
        <v>101.40488901376791</v>
      </c>
      <c r="GS18" s="38">
        <v>110.21141649048624</v>
      </c>
      <c r="GU18" s="75">
        <v>634687572</v>
      </c>
      <c r="GV18" s="76">
        <v>44907377</v>
      </c>
      <c r="GW18" s="76">
        <v>589780195</v>
      </c>
      <c r="GX18" s="76">
        <v>884.24</v>
      </c>
      <c r="GY18" s="76">
        <v>55583</v>
      </c>
      <c r="GZ18" s="77">
        <f t="shared" si="3"/>
        <v>16</v>
      </c>
      <c r="HA18" s="26"/>
      <c r="HB18" s="39">
        <v>681395092</v>
      </c>
      <c r="HC18" s="76">
        <v>55497506</v>
      </c>
      <c r="HD18" s="76">
        <v>625897586</v>
      </c>
      <c r="HE18" s="76">
        <v>931.24</v>
      </c>
      <c r="HF18" s="14">
        <v>56009</v>
      </c>
      <c r="HG18" s="77">
        <f t="shared" si="4"/>
        <v>17</v>
      </c>
      <c r="HH18" s="39">
        <v>659703895.99000001</v>
      </c>
      <c r="HI18" s="76">
        <v>43630748.999999985</v>
      </c>
      <c r="HJ18" s="295">
        <v>616073146.99000001</v>
      </c>
      <c r="HK18" s="76">
        <v>814.6099999999999</v>
      </c>
      <c r="HL18" s="14">
        <v>63023</v>
      </c>
      <c r="HM18" s="77">
        <f t="shared" si="5"/>
        <v>12</v>
      </c>
      <c r="HN18" s="37"/>
      <c r="HO18" s="38"/>
    </row>
    <row r="19" spans="1:223" ht="18" customHeight="1">
      <c r="A19" s="65">
        <v>321</v>
      </c>
      <c r="B19" s="68" t="s">
        <v>25</v>
      </c>
      <c r="C19" s="33" t="s">
        <v>26</v>
      </c>
      <c r="D19" s="41"/>
      <c r="E19" s="75">
        <v>44174000</v>
      </c>
      <c r="F19" s="76">
        <v>32379000</v>
      </c>
      <c r="G19" s="76">
        <v>11795000</v>
      </c>
      <c r="H19" s="76">
        <v>32</v>
      </c>
      <c r="I19" s="76">
        <v>30716</v>
      </c>
      <c r="J19" s="77">
        <v>21</v>
      </c>
      <c r="K19" s="38">
        <v>100</v>
      </c>
      <c r="L19" s="75">
        <v>42793511</v>
      </c>
      <c r="M19" s="76">
        <v>27054261</v>
      </c>
      <c r="N19" s="76">
        <v>15739250</v>
      </c>
      <c r="O19" s="76">
        <v>39</v>
      </c>
      <c r="P19" s="76">
        <v>33631</v>
      </c>
      <c r="Q19" s="77">
        <v>15</v>
      </c>
      <c r="R19" s="75">
        <v>29200089</v>
      </c>
      <c r="S19" s="76">
        <v>13502134</v>
      </c>
      <c r="T19" s="76">
        <v>15697955</v>
      </c>
      <c r="U19" s="76">
        <v>32</v>
      </c>
      <c r="V19" s="76">
        <v>40880</v>
      </c>
      <c r="W19" s="77">
        <v>7</v>
      </c>
      <c r="X19" s="37">
        <v>121.55451815289464</v>
      </c>
      <c r="Y19" s="38">
        <v>120.61131763733994</v>
      </c>
      <c r="AA19" s="75">
        <v>42734528</v>
      </c>
      <c r="AB19" s="76">
        <v>24066623</v>
      </c>
      <c r="AC19" s="76">
        <v>18667905</v>
      </c>
      <c r="AD19" s="76">
        <v>44</v>
      </c>
      <c r="AE19" s="76">
        <v>35356</v>
      </c>
      <c r="AF19" s="77">
        <v>12</v>
      </c>
      <c r="AG19" s="38">
        <v>115.10613361114727</v>
      </c>
      <c r="AH19" s="75">
        <v>42843424</v>
      </c>
      <c r="AI19" s="76">
        <v>24066623</v>
      </c>
      <c r="AJ19" s="76">
        <v>18776801</v>
      </c>
      <c r="AK19" s="76">
        <v>44</v>
      </c>
      <c r="AL19" s="76">
        <v>35562</v>
      </c>
      <c r="AM19" s="77">
        <v>12</v>
      </c>
      <c r="AN19" s="75">
        <v>40678173</v>
      </c>
      <c r="AO19" s="76">
        <v>21536541</v>
      </c>
      <c r="AP19" s="76">
        <v>19141632</v>
      </c>
      <c r="AQ19" s="76">
        <v>43</v>
      </c>
      <c r="AR19" s="76">
        <v>37096</v>
      </c>
      <c r="AS19" s="77">
        <v>16</v>
      </c>
      <c r="AT19" s="37">
        <v>104.31359316123951</v>
      </c>
      <c r="AU19" s="38">
        <v>90.743639921722121</v>
      </c>
      <c r="AW19" s="75">
        <v>45030403</v>
      </c>
      <c r="AX19" s="76">
        <v>25419302</v>
      </c>
      <c r="AY19" s="76">
        <v>19611101</v>
      </c>
      <c r="AZ19" s="76">
        <v>44</v>
      </c>
      <c r="BA19" s="76">
        <v>37142</v>
      </c>
      <c r="BB19" s="27">
        <v>14</v>
      </c>
      <c r="BC19" s="38">
        <v>105.05147641135875</v>
      </c>
      <c r="BD19" s="24">
        <v>45128459</v>
      </c>
      <c r="BE19" s="76">
        <v>25419302</v>
      </c>
      <c r="BF19" s="76">
        <v>19709157</v>
      </c>
      <c r="BG19" s="76">
        <v>44</v>
      </c>
      <c r="BH19" s="14">
        <v>37328</v>
      </c>
      <c r="BI19" s="27">
        <v>14</v>
      </c>
      <c r="BJ19" s="24">
        <v>37835171</v>
      </c>
      <c r="BK19" s="76">
        <v>18317700</v>
      </c>
      <c r="BL19" s="76">
        <v>19517471</v>
      </c>
      <c r="BM19" s="76">
        <v>43</v>
      </c>
      <c r="BN19" s="14">
        <v>37825</v>
      </c>
      <c r="BO19" s="27">
        <v>17</v>
      </c>
      <c r="BP19" s="37">
        <v>101.33144020574368</v>
      </c>
      <c r="BQ19" s="38">
        <v>101.96517144705628</v>
      </c>
      <c r="BS19" s="24">
        <v>46381315</v>
      </c>
      <c r="BT19" s="76">
        <v>26181881</v>
      </c>
      <c r="BU19" s="76">
        <v>20199434</v>
      </c>
      <c r="BV19" s="76">
        <v>44</v>
      </c>
      <c r="BW19" s="14">
        <v>38257</v>
      </c>
      <c r="BX19" s="27">
        <v>17</v>
      </c>
      <c r="BY19" s="26">
        <v>103.00199235366969</v>
      </c>
      <c r="BZ19" s="24">
        <v>46549644</v>
      </c>
      <c r="CA19" s="76">
        <v>26181881</v>
      </c>
      <c r="CB19" s="76">
        <v>20367763</v>
      </c>
      <c r="CC19" s="76">
        <v>44</v>
      </c>
      <c r="CD19" s="14">
        <v>38575</v>
      </c>
      <c r="CE19" s="77">
        <v>16</v>
      </c>
      <c r="CF19" s="24">
        <v>38314474</v>
      </c>
      <c r="CG19" s="76">
        <v>18162847</v>
      </c>
      <c r="CH19" s="76">
        <v>20151627</v>
      </c>
      <c r="CI19" s="76">
        <v>43</v>
      </c>
      <c r="CJ19" s="14">
        <v>39054</v>
      </c>
      <c r="CK19" s="77">
        <v>19</v>
      </c>
      <c r="CL19" s="37">
        <v>101.24173687621516</v>
      </c>
      <c r="CM19" s="38">
        <v>103.2491738268341</v>
      </c>
      <c r="CO19" s="75">
        <v>47391287</v>
      </c>
      <c r="CP19" s="76">
        <v>26181881</v>
      </c>
      <c r="CQ19" s="76">
        <v>21209406</v>
      </c>
      <c r="CR19" s="76">
        <v>44</v>
      </c>
      <c r="CS19" s="76">
        <v>40169</v>
      </c>
      <c r="CT19" s="45">
        <v>17</v>
      </c>
      <c r="CU19" s="26">
        <v>104.99777818438456</v>
      </c>
      <c r="CV19" s="75">
        <v>47709428</v>
      </c>
      <c r="CW19" s="76">
        <v>26181881</v>
      </c>
      <c r="CX19" s="76">
        <v>21527547</v>
      </c>
      <c r="CY19" s="76">
        <v>44</v>
      </c>
      <c r="CZ19" s="76">
        <v>40772</v>
      </c>
      <c r="DA19" s="77">
        <v>19</v>
      </c>
      <c r="DB19" s="24">
        <v>36882805</v>
      </c>
      <c r="DC19" s="76">
        <v>15582593</v>
      </c>
      <c r="DD19" s="76">
        <v>21300212</v>
      </c>
      <c r="DE19" s="76">
        <v>41</v>
      </c>
      <c r="DF19" s="14">
        <v>43293</v>
      </c>
      <c r="DG19" s="77">
        <v>20</v>
      </c>
      <c r="DH19" s="37">
        <v>106.18316491709999</v>
      </c>
      <c r="DI19" s="38">
        <v>110.85420187432786</v>
      </c>
      <c r="DK19" s="24">
        <v>49300134</v>
      </c>
      <c r="DL19" s="76">
        <v>20781881</v>
      </c>
      <c r="DM19" s="76">
        <v>28518253</v>
      </c>
      <c r="DN19" s="76">
        <v>54</v>
      </c>
      <c r="DO19" s="14">
        <v>44010</v>
      </c>
      <c r="DP19" s="77">
        <v>15</v>
      </c>
      <c r="DQ19" s="26">
        <v>109.56210012696357</v>
      </c>
      <c r="DR19" s="24">
        <v>49300134</v>
      </c>
      <c r="DS19" s="76">
        <v>20781881</v>
      </c>
      <c r="DT19" s="76">
        <v>28518253</v>
      </c>
      <c r="DU19" s="76">
        <v>54</v>
      </c>
      <c r="DV19" s="14">
        <v>44010</v>
      </c>
      <c r="DW19" s="77">
        <v>16</v>
      </c>
      <c r="DX19" s="24">
        <v>50500738</v>
      </c>
      <c r="DY19" s="76">
        <v>21977350</v>
      </c>
      <c r="DZ19" s="76">
        <v>28523388</v>
      </c>
      <c r="EA19" s="76">
        <v>49.17</v>
      </c>
      <c r="EB19" s="14">
        <v>48341</v>
      </c>
      <c r="EC19" s="77">
        <v>17</v>
      </c>
      <c r="ED19" s="37">
        <v>109.84094523971824</v>
      </c>
      <c r="EE19" s="38">
        <v>111.660083616289</v>
      </c>
      <c r="EG19" s="24">
        <v>48299471</v>
      </c>
      <c r="EH19" s="76">
        <v>18741881</v>
      </c>
      <c r="EI19" s="76">
        <v>29557590</v>
      </c>
      <c r="EJ19" s="76">
        <v>59</v>
      </c>
      <c r="EK19" s="14">
        <v>41748</v>
      </c>
      <c r="EL19" s="77">
        <v>26</v>
      </c>
      <c r="EM19" s="26">
        <v>94.860259032038172</v>
      </c>
      <c r="EN19" s="24">
        <v>48299471</v>
      </c>
      <c r="EO19" s="76">
        <v>18741881</v>
      </c>
      <c r="EP19" s="76">
        <v>29557590</v>
      </c>
      <c r="EQ19" s="76">
        <v>59</v>
      </c>
      <c r="ER19" s="14">
        <v>41748</v>
      </c>
      <c r="ES19" s="77">
        <v>26</v>
      </c>
      <c r="ET19" s="24">
        <v>58373396</v>
      </c>
      <c r="EU19" s="76">
        <v>28483175</v>
      </c>
      <c r="EV19" s="76">
        <v>29890221</v>
      </c>
      <c r="EW19" s="76">
        <v>56.46</v>
      </c>
      <c r="EX19" s="14">
        <v>44117</v>
      </c>
      <c r="EY19" s="27">
        <v>26</v>
      </c>
      <c r="EZ19" s="37">
        <v>105.67452333045895</v>
      </c>
      <c r="FA19" s="38">
        <v>91.262075670755678</v>
      </c>
      <c r="FC19" s="24">
        <v>51226366</v>
      </c>
      <c r="FD19" s="76">
        <v>18741881</v>
      </c>
      <c r="FE19" s="76">
        <v>32484485</v>
      </c>
      <c r="FF19" s="76">
        <v>59</v>
      </c>
      <c r="FG19" s="14">
        <v>45882</v>
      </c>
      <c r="FH19" s="77">
        <v>24</v>
      </c>
      <c r="FI19" s="26">
        <v>109.90227076746191</v>
      </c>
      <c r="FJ19" s="24">
        <v>51226366</v>
      </c>
      <c r="FK19" s="76">
        <v>18741881</v>
      </c>
      <c r="FL19" s="76">
        <v>32484485</v>
      </c>
      <c r="FM19" s="76">
        <v>59</v>
      </c>
      <c r="FN19" s="14">
        <v>45882</v>
      </c>
      <c r="FO19" s="77">
        <v>23</v>
      </c>
      <c r="FP19" s="24">
        <v>60138939</v>
      </c>
      <c r="FQ19" s="76">
        <v>26610718</v>
      </c>
      <c r="FR19" s="76">
        <v>33528221</v>
      </c>
      <c r="FS19" s="76">
        <v>55.66</v>
      </c>
      <c r="FT19" s="14">
        <v>50198</v>
      </c>
      <c r="FU19" s="77">
        <v>20</v>
      </c>
      <c r="FV19" s="37">
        <v>109.40673902619764</v>
      </c>
      <c r="FW19" s="38">
        <v>113.78380216243171</v>
      </c>
      <c r="FY19" s="75">
        <v>51811866</v>
      </c>
      <c r="FZ19" s="76">
        <v>18741881</v>
      </c>
      <c r="GA19" s="76">
        <v>33069985</v>
      </c>
      <c r="GB19" s="76">
        <v>59</v>
      </c>
      <c r="GC19" s="76">
        <v>46709</v>
      </c>
      <c r="GD19" s="77">
        <f t="shared" si="0"/>
        <v>27</v>
      </c>
      <c r="GE19" s="26"/>
      <c r="GF19" s="39">
        <v>56811866</v>
      </c>
      <c r="GG19" s="76">
        <v>23741881</v>
      </c>
      <c r="GH19" s="76">
        <v>33069985</v>
      </c>
      <c r="GI19" s="76">
        <v>59</v>
      </c>
      <c r="GJ19" s="14">
        <v>46709</v>
      </c>
      <c r="GK19" s="77">
        <f t="shared" si="1"/>
        <v>29</v>
      </c>
      <c r="GL19" s="39">
        <v>61659460</v>
      </c>
      <c r="GM19" s="76">
        <v>24860263</v>
      </c>
      <c r="GN19" s="295">
        <v>36799197</v>
      </c>
      <c r="GO19" s="76">
        <v>56.28</v>
      </c>
      <c r="GP19" s="14">
        <v>54488</v>
      </c>
      <c r="GQ19" s="77">
        <f t="shared" si="2"/>
        <v>21</v>
      </c>
      <c r="GR19" s="37">
        <v>106.18316491709999</v>
      </c>
      <c r="GS19" s="38">
        <v>110.85420187432786</v>
      </c>
      <c r="GU19" s="75">
        <v>56408032</v>
      </c>
      <c r="GV19" s="76">
        <v>18741881</v>
      </c>
      <c r="GW19" s="76">
        <v>37666151</v>
      </c>
      <c r="GX19" s="76">
        <v>64</v>
      </c>
      <c r="GY19" s="76">
        <v>49044</v>
      </c>
      <c r="GZ19" s="77">
        <f t="shared" si="3"/>
        <v>33</v>
      </c>
      <c r="HA19" s="26"/>
      <c r="HB19" s="39">
        <v>57408032</v>
      </c>
      <c r="HC19" s="76">
        <v>19741881</v>
      </c>
      <c r="HD19" s="76">
        <v>37666151</v>
      </c>
      <c r="HE19" s="76">
        <v>64</v>
      </c>
      <c r="HF19" s="14">
        <v>49044</v>
      </c>
      <c r="HG19" s="77">
        <f t="shared" si="4"/>
        <v>33</v>
      </c>
      <c r="HH19" s="39">
        <v>62961564</v>
      </c>
      <c r="HI19" s="76">
        <v>23962407</v>
      </c>
      <c r="HJ19" s="295">
        <v>38999157</v>
      </c>
      <c r="HK19" s="76">
        <v>59.77</v>
      </c>
      <c r="HL19" s="14">
        <v>54374</v>
      </c>
      <c r="HM19" s="77">
        <f t="shared" si="5"/>
        <v>28</v>
      </c>
      <c r="HN19" s="37"/>
      <c r="HO19" s="38"/>
    </row>
    <row r="20" spans="1:223" ht="18" customHeight="1">
      <c r="A20" s="65">
        <v>322</v>
      </c>
      <c r="B20" s="68" t="s">
        <v>27</v>
      </c>
      <c r="C20" s="33" t="s">
        <v>28</v>
      </c>
      <c r="D20" s="41"/>
      <c r="E20" s="75">
        <v>674743000</v>
      </c>
      <c r="F20" s="76">
        <v>25738000</v>
      </c>
      <c r="G20" s="76">
        <v>649005000</v>
      </c>
      <c r="H20" s="76">
        <v>1729</v>
      </c>
      <c r="I20" s="76">
        <v>31280</v>
      </c>
      <c r="J20" s="77">
        <v>20</v>
      </c>
      <c r="K20" s="38">
        <v>99.207104345068188</v>
      </c>
      <c r="L20" s="75">
        <v>679215150</v>
      </c>
      <c r="M20" s="76">
        <v>13989150</v>
      </c>
      <c r="N20" s="76">
        <v>665226000</v>
      </c>
      <c r="O20" s="76">
        <v>1751</v>
      </c>
      <c r="P20" s="76">
        <v>31659</v>
      </c>
      <c r="Q20" s="77">
        <v>19</v>
      </c>
      <c r="R20" s="75">
        <v>672695969</v>
      </c>
      <c r="S20" s="76">
        <v>13147269</v>
      </c>
      <c r="T20" s="76">
        <v>659548700</v>
      </c>
      <c r="U20" s="76">
        <v>1523</v>
      </c>
      <c r="V20" s="76">
        <v>36088</v>
      </c>
      <c r="W20" s="77">
        <v>16</v>
      </c>
      <c r="X20" s="37">
        <v>113.98970277014435</v>
      </c>
      <c r="Y20" s="38">
        <v>99.972297634217966</v>
      </c>
      <c r="AA20" s="75">
        <v>692504954</v>
      </c>
      <c r="AB20" s="76">
        <v>25513160</v>
      </c>
      <c r="AC20" s="76">
        <v>666991794</v>
      </c>
      <c r="AD20" s="76">
        <v>1667</v>
      </c>
      <c r="AE20" s="76">
        <v>33343</v>
      </c>
      <c r="AF20" s="77">
        <v>19</v>
      </c>
      <c r="AG20" s="38">
        <v>106.59526854219949</v>
      </c>
      <c r="AH20" s="75">
        <v>698546864</v>
      </c>
      <c r="AI20" s="76">
        <v>13562710</v>
      </c>
      <c r="AJ20" s="76">
        <v>684984154</v>
      </c>
      <c r="AK20" s="76">
        <v>1650</v>
      </c>
      <c r="AL20" s="76">
        <v>34595</v>
      </c>
      <c r="AM20" s="77">
        <v>15</v>
      </c>
      <c r="AN20" s="75">
        <v>692069496</v>
      </c>
      <c r="AO20" s="76">
        <v>13227304</v>
      </c>
      <c r="AP20" s="76">
        <v>678842192</v>
      </c>
      <c r="AQ20" s="76">
        <v>1517</v>
      </c>
      <c r="AR20" s="76">
        <v>37291</v>
      </c>
      <c r="AS20" s="77">
        <v>15</v>
      </c>
      <c r="AT20" s="37">
        <v>107.79303367538662</v>
      </c>
      <c r="AU20" s="38">
        <v>103.33351806694746</v>
      </c>
      <c r="AW20" s="75">
        <v>733357522</v>
      </c>
      <c r="AX20" s="76">
        <v>27503612</v>
      </c>
      <c r="AY20" s="76">
        <v>705853910</v>
      </c>
      <c r="AZ20" s="76">
        <v>1600</v>
      </c>
      <c r="BA20" s="76">
        <v>36763</v>
      </c>
      <c r="BB20" s="27">
        <v>15</v>
      </c>
      <c r="BC20" s="38">
        <v>110.25702546261584</v>
      </c>
      <c r="BD20" s="24">
        <v>762054024</v>
      </c>
      <c r="BE20" s="76">
        <v>27503612</v>
      </c>
      <c r="BF20" s="76">
        <v>734550412</v>
      </c>
      <c r="BG20" s="76">
        <v>1643</v>
      </c>
      <c r="BH20" s="14">
        <v>37257</v>
      </c>
      <c r="BI20" s="27">
        <v>16</v>
      </c>
      <c r="BJ20" s="24">
        <v>745575922</v>
      </c>
      <c r="BK20" s="76">
        <v>18630808</v>
      </c>
      <c r="BL20" s="76">
        <v>726945114</v>
      </c>
      <c r="BM20" s="76">
        <v>1531</v>
      </c>
      <c r="BN20" s="14">
        <v>39568</v>
      </c>
      <c r="BO20" s="27">
        <v>14</v>
      </c>
      <c r="BP20" s="37">
        <v>106.2028612072899</v>
      </c>
      <c r="BQ20" s="38">
        <v>106.10603094580462</v>
      </c>
      <c r="BS20" s="24">
        <v>846536587</v>
      </c>
      <c r="BT20" s="76">
        <v>36217180</v>
      </c>
      <c r="BU20" s="76">
        <v>810319407</v>
      </c>
      <c r="BV20" s="76">
        <v>1747</v>
      </c>
      <c r="BW20" s="14">
        <v>38653</v>
      </c>
      <c r="BX20" s="27">
        <v>15</v>
      </c>
      <c r="BY20" s="26">
        <v>105.14103854418846</v>
      </c>
      <c r="BZ20" s="24">
        <v>893627709</v>
      </c>
      <c r="CA20" s="76">
        <v>69217180</v>
      </c>
      <c r="CB20" s="76">
        <v>824410529</v>
      </c>
      <c r="CC20" s="76">
        <v>1763</v>
      </c>
      <c r="CD20" s="14">
        <v>38968</v>
      </c>
      <c r="CE20" s="77">
        <v>15</v>
      </c>
      <c r="CF20" s="24">
        <v>814200476</v>
      </c>
      <c r="CG20" s="76">
        <v>32188152</v>
      </c>
      <c r="CH20" s="76">
        <v>782012324</v>
      </c>
      <c r="CI20" s="76">
        <v>1534</v>
      </c>
      <c r="CJ20" s="14">
        <v>42482</v>
      </c>
      <c r="CK20" s="77">
        <v>12</v>
      </c>
      <c r="CL20" s="37">
        <v>109.01765551221516</v>
      </c>
      <c r="CM20" s="38">
        <v>107.36453699959563</v>
      </c>
      <c r="CO20" s="75">
        <v>955832768</v>
      </c>
      <c r="CP20" s="76">
        <v>58819842</v>
      </c>
      <c r="CQ20" s="76">
        <v>897012926</v>
      </c>
      <c r="CR20" s="76">
        <v>1844</v>
      </c>
      <c r="CS20" s="76">
        <v>40537</v>
      </c>
      <c r="CT20" s="45">
        <v>15</v>
      </c>
      <c r="CU20" s="26">
        <v>104.87413654826274</v>
      </c>
      <c r="CV20" s="75">
        <v>975861122</v>
      </c>
      <c r="CW20" s="76">
        <v>66122442</v>
      </c>
      <c r="CX20" s="76">
        <v>909738680</v>
      </c>
      <c r="CY20" s="76">
        <v>1846.75</v>
      </c>
      <c r="CZ20" s="76">
        <v>41051</v>
      </c>
      <c r="DA20" s="77">
        <v>17</v>
      </c>
      <c r="DB20" s="24">
        <v>921725140</v>
      </c>
      <c r="DC20" s="76">
        <v>35574981</v>
      </c>
      <c r="DD20" s="76">
        <v>886150159</v>
      </c>
      <c r="DE20" s="76">
        <v>1610</v>
      </c>
      <c r="DF20" s="14">
        <v>45867</v>
      </c>
      <c r="DG20" s="77">
        <v>14</v>
      </c>
      <c r="DH20" s="37">
        <v>111.73174831307398</v>
      </c>
      <c r="DI20" s="38">
        <v>107.96808059884187</v>
      </c>
      <c r="DK20" s="24">
        <v>979615904</v>
      </c>
      <c r="DL20" s="76">
        <v>33234658</v>
      </c>
      <c r="DM20" s="76">
        <v>946381246</v>
      </c>
      <c r="DN20" s="76">
        <v>1882</v>
      </c>
      <c r="DO20" s="14">
        <v>41905</v>
      </c>
      <c r="DP20" s="77">
        <v>22</v>
      </c>
      <c r="DQ20" s="26">
        <v>103.37469472333918</v>
      </c>
      <c r="DR20" s="24">
        <v>989160960</v>
      </c>
      <c r="DS20" s="76">
        <v>39693714</v>
      </c>
      <c r="DT20" s="76">
        <v>949467246</v>
      </c>
      <c r="DU20" s="76">
        <v>1854.42</v>
      </c>
      <c r="DV20" s="14">
        <v>42667</v>
      </c>
      <c r="DW20" s="77">
        <v>20</v>
      </c>
      <c r="DX20" s="24">
        <v>990545797</v>
      </c>
      <c r="DY20" s="76">
        <v>40438192</v>
      </c>
      <c r="DZ20" s="76">
        <v>950107605</v>
      </c>
      <c r="EA20" s="76">
        <v>1631.3</v>
      </c>
      <c r="EB20" s="14">
        <v>48535</v>
      </c>
      <c r="EC20" s="77">
        <v>16</v>
      </c>
      <c r="ED20" s="37">
        <v>113.75301755455037</v>
      </c>
      <c r="EE20" s="38">
        <v>105.81681819172826</v>
      </c>
      <c r="EG20" s="24">
        <v>967227401</v>
      </c>
      <c r="EH20" s="76">
        <v>35437405</v>
      </c>
      <c r="EI20" s="76">
        <v>931789996</v>
      </c>
      <c r="EJ20" s="76">
        <v>1737</v>
      </c>
      <c r="EK20" s="14">
        <v>44703</v>
      </c>
      <c r="EL20" s="77">
        <v>18</v>
      </c>
      <c r="EM20" s="26">
        <v>106.67700751700275</v>
      </c>
      <c r="EN20" s="24">
        <v>968178930</v>
      </c>
      <c r="EO20" s="76">
        <v>35495605</v>
      </c>
      <c r="EP20" s="76">
        <v>932683325</v>
      </c>
      <c r="EQ20" s="76">
        <v>1737</v>
      </c>
      <c r="ER20" s="14">
        <v>44746</v>
      </c>
      <c r="ES20" s="77">
        <v>19</v>
      </c>
      <c r="ET20" s="24">
        <v>1009501078</v>
      </c>
      <c r="EU20" s="76">
        <v>42279502</v>
      </c>
      <c r="EV20" s="76">
        <v>967221576</v>
      </c>
      <c r="EW20" s="76">
        <v>1617.79</v>
      </c>
      <c r="EX20" s="14">
        <v>49822</v>
      </c>
      <c r="EY20" s="27">
        <v>19</v>
      </c>
      <c r="EZ20" s="37">
        <v>111.34403075135208</v>
      </c>
      <c r="FA20" s="38">
        <v>102.65169465334294</v>
      </c>
      <c r="FC20" s="24">
        <v>974553200</v>
      </c>
      <c r="FD20" s="76">
        <v>35904424</v>
      </c>
      <c r="FE20" s="76">
        <v>938648776</v>
      </c>
      <c r="FF20" s="76">
        <v>1686</v>
      </c>
      <c r="FG20" s="14">
        <v>46394</v>
      </c>
      <c r="FH20" s="77">
        <v>23</v>
      </c>
      <c r="FI20" s="26">
        <v>103.78274388743485</v>
      </c>
      <c r="FJ20" s="24">
        <v>990712161</v>
      </c>
      <c r="FK20" s="76">
        <v>33980525</v>
      </c>
      <c r="FL20" s="76">
        <v>956731636</v>
      </c>
      <c r="FM20" s="76">
        <v>1692.58</v>
      </c>
      <c r="FN20" s="14">
        <v>47104</v>
      </c>
      <c r="FO20" s="77">
        <v>18</v>
      </c>
      <c r="FP20" s="24">
        <v>1039607948.38</v>
      </c>
      <c r="FQ20" s="76">
        <v>52917922</v>
      </c>
      <c r="FR20" s="76">
        <v>986690026.38</v>
      </c>
      <c r="FS20" s="76">
        <v>1625.33</v>
      </c>
      <c r="FT20" s="14">
        <v>50589</v>
      </c>
      <c r="FU20" s="77">
        <v>18</v>
      </c>
      <c r="FV20" s="37">
        <v>107.39852241847827</v>
      </c>
      <c r="FW20" s="38">
        <v>101.53948055076071</v>
      </c>
      <c r="FY20" s="75">
        <v>1157678320</v>
      </c>
      <c r="FZ20" s="76">
        <v>97157985</v>
      </c>
      <c r="GA20" s="76">
        <v>1060520335</v>
      </c>
      <c r="GB20" s="76">
        <v>1772.83</v>
      </c>
      <c r="GC20" s="76">
        <v>49851</v>
      </c>
      <c r="GD20" s="77">
        <f t="shared" si="0"/>
        <v>24</v>
      </c>
      <c r="GE20" s="26"/>
      <c r="GF20" s="39">
        <v>1207286045</v>
      </c>
      <c r="GG20" s="76">
        <v>102947390</v>
      </c>
      <c r="GH20" s="76">
        <v>1104338655</v>
      </c>
      <c r="GI20" s="76">
        <v>1776.83</v>
      </c>
      <c r="GJ20" s="14">
        <v>51793</v>
      </c>
      <c r="GK20" s="77">
        <f t="shared" si="1"/>
        <v>20</v>
      </c>
      <c r="GL20" s="39">
        <v>1115726799.0799999</v>
      </c>
      <c r="GM20" s="76">
        <v>79818392</v>
      </c>
      <c r="GN20" s="295">
        <v>1035908407.0799999</v>
      </c>
      <c r="GO20" s="76">
        <v>1603.8999999999999</v>
      </c>
      <c r="GP20" s="14">
        <v>53822</v>
      </c>
      <c r="GQ20" s="77">
        <f t="shared" si="2"/>
        <v>24</v>
      </c>
      <c r="GR20" s="37">
        <v>111.73174831307398</v>
      </c>
      <c r="GS20" s="38">
        <v>107.96808059884187</v>
      </c>
      <c r="GU20" s="75">
        <v>1219667635</v>
      </c>
      <c r="GV20" s="76">
        <v>93243414</v>
      </c>
      <c r="GW20" s="76">
        <v>1126424221</v>
      </c>
      <c r="GX20" s="76">
        <v>1785</v>
      </c>
      <c r="GY20" s="76">
        <v>52587</v>
      </c>
      <c r="GZ20" s="77">
        <f t="shared" si="3"/>
        <v>24</v>
      </c>
      <c r="HA20" s="26"/>
      <c r="HB20" s="39">
        <v>1200241348</v>
      </c>
      <c r="HC20" s="76">
        <v>93243414</v>
      </c>
      <c r="HD20" s="76">
        <v>1106997934</v>
      </c>
      <c r="HE20" s="76">
        <v>1786.5</v>
      </c>
      <c r="HF20" s="14">
        <v>51637</v>
      </c>
      <c r="HG20" s="77">
        <f t="shared" si="4"/>
        <v>26</v>
      </c>
      <c r="HH20" s="39">
        <v>1154395097</v>
      </c>
      <c r="HI20" s="76">
        <v>68954528</v>
      </c>
      <c r="HJ20" s="295">
        <v>1085440569</v>
      </c>
      <c r="HK20" s="76">
        <v>1621.55</v>
      </c>
      <c r="HL20" s="14">
        <v>55782</v>
      </c>
      <c r="HM20" s="77">
        <f t="shared" si="5"/>
        <v>24</v>
      </c>
      <c r="HN20" s="37"/>
      <c r="HO20" s="38"/>
    </row>
    <row r="21" spans="1:223" ht="18" customHeight="1">
      <c r="A21" s="65">
        <v>327</v>
      </c>
      <c r="B21" s="68" t="s">
        <v>29</v>
      </c>
      <c r="C21" s="33" t="s">
        <v>30</v>
      </c>
      <c r="D21" s="41"/>
      <c r="E21" s="75">
        <v>356544000</v>
      </c>
      <c r="F21" s="76">
        <v>6882000</v>
      </c>
      <c r="G21" s="76">
        <v>349662000</v>
      </c>
      <c r="H21" s="76">
        <v>970</v>
      </c>
      <c r="I21" s="76">
        <v>30040</v>
      </c>
      <c r="J21" s="77">
        <v>22</v>
      </c>
      <c r="K21" s="38">
        <v>99.12555683880548</v>
      </c>
      <c r="L21" s="75">
        <v>358770587</v>
      </c>
      <c r="M21" s="76">
        <v>9362587</v>
      </c>
      <c r="N21" s="76">
        <v>349408000</v>
      </c>
      <c r="O21" s="76">
        <v>969</v>
      </c>
      <c r="P21" s="76">
        <v>30049</v>
      </c>
      <c r="Q21" s="77">
        <v>22</v>
      </c>
      <c r="R21" s="75">
        <v>355699960</v>
      </c>
      <c r="S21" s="76">
        <v>9180319</v>
      </c>
      <c r="T21" s="76">
        <v>346519641</v>
      </c>
      <c r="U21" s="76">
        <v>830</v>
      </c>
      <c r="V21" s="76">
        <v>34791</v>
      </c>
      <c r="W21" s="77">
        <v>20</v>
      </c>
      <c r="X21" s="37">
        <v>115.78089121102199</v>
      </c>
      <c r="Y21" s="38">
        <v>101.95463603329036</v>
      </c>
      <c r="AA21" s="75">
        <v>363851460</v>
      </c>
      <c r="AB21" s="76">
        <v>6730350</v>
      </c>
      <c r="AC21" s="76">
        <v>357121110</v>
      </c>
      <c r="AD21" s="76">
        <v>970</v>
      </c>
      <c r="AE21" s="76">
        <v>30681</v>
      </c>
      <c r="AF21" s="77">
        <v>22</v>
      </c>
      <c r="AG21" s="38">
        <v>102.13382157123836</v>
      </c>
      <c r="AH21" s="75">
        <v>366676875</v>
      </c>
      <c r="AI21" s="76">
        <v>6683430</v>
      </c>
      <c r="AJ21" s="76">
        <v>359993445</v>
      </c>
      <c r="AK21" s="76">
        <v>970</v>
      </c>
      <c r="AL21" s="76">
        <v>30927</v>
      </c>
      <c r="AM21" s="77">
        <v>22</v>
      </c>
      <c r="AN21" s="75">
        <v>363243325</v>
      </c>
      <c r="AO21" s="76">
        <v>7435281</v>
      </c>
      <c r="AP21" s="76">
        <v>355808044</v>
      </c>
      <c r="AQ21" s="76">
        <v>833</v>
      </c>
      <c r="AR21" s="76">
        <v>35595</v>
      </c>
      <c r="AS21" s="77">
        <v>20</v>
      </c>
      <c r="AT21" s="37">
        <v>115.09360752740324</v>
      </c>
      <c r="AU21" s="38">
        <v>102.31094248512547</v>
      </c>
      <c r="AW21" s="75">
        <v>389050254</v>
      </c>
      <c r="AX21" s="76">
        <v>10784935</v>
      </c>
      <c r="AY21" s="76">
        <v>378265319</v>
      </c>
      <c r="AZ21" s="76">
        <v>897</v>
      </c>
      <c r="BA21" s="76">
        <v>35142</v>
      </c>
      <c r="BB21" s="27">
        <v>20</v>
      </c>
      <c r="BC21" s="38">
        <v>114.53994328737656</v>
      </c>
      <c r="BD21" s="24">
        <v>399138065</v>
      </c>
      <c r="BE21" s="76">
        <v>10784935</v>
      </c>
      <c r="BF21" s="76">
        <v>388353130</v>
      </c>
      <c r="BG21" s="76">
        <v>904</v>
      </c>
      <c r="BH21" s="14">
        <v>35800</v>
      </c>
      <c r="BI21" s="27">
        <v>18</v>
      </c>
      <c r="BJ21" s="24">
        <v>390693803</v>
      </c>
      <c r="BK21" s="76">
        <v>7857391</v>
      </c>
      <c r="BL21" s="76">
        <v>382836412</v>
      </c>
      <c r="BM21" s="76">
        <v>845</v>
      </c>
      <c r="BN21" s="14">
        <v>37755</v>
      </c>
      <c r="BO21" s="27">
        <v>18</v>
      </c>
      <c r="BP21" s="37">
        <v>105.46089385474859</v>
      </c>
      <c r="BQ21" s="38">
        <v>106.06826801517066</v>
      </c>
      <c r="BS21" s="24">
        <v>448239755</v>
      </c>
      <c r="BT21" s="76">
        <v>14758872</v>
      </c>
      <c r="BU21" s="76">
        <v>433480883</v>
      </c>
      <c r="BV21" s="76">
        <v>910</v>
      </c>
      <c r="BW21" s="14">
        <v>39696</v>
      </c>
      <c r="BX21" s="27">
        <v>11</v>
      </c>
      <c r="BY21" s="26">
        <v>112.9588526549428</v>
      </c>
      <c r="BZ21" s="24">
        <v>458475605</v>
      </c>
      <c r="CA21" s="76">
        <v>14708103</v>
      </c>
      <c r="CB21" s="76">
        <v>443767502</v>
      </c>
      <c r="CC21" s="76">
        <v>924</v>
      </c>
      <c r="CD21" s="14">
        <v>40022</v>
      </c>
      <c r="CE21" s="77">
        <v>11</v>
      </c>
      <c r="CF21" s="24">
        <v>429438522</v>
      </c>
      <c r="CG21" s="76">
        <v>7536924</v>
      </c>
      <c r="CH21" s="76">
        <v>421901598</v>
      </c>
      <c r="CI21" s="76">
        <v>826</v>
      </c>
      <c r="CJ21" s="14">
        <v>42565</v>
      </c>
      <c r="CK21" s="77">
        <v>11</v>
      </c>
      <c r="CL21" s="37">
        <v>106.3540052970866</v>
      </c>
      <c r="CM21" s="38">
        <v>112.74003443252549</v>
      </c>
      <c r="CO21" s="75">
        <v>498242574</v>
      </c>
      <c r="CP21" s="76">
        <v>15487188</v>
      </c>
      <c r="CQ21" s="76">
        <v>482755386</v>
      </c>
      <c r="CR21" s="76">
        <v>944.6</v>
      </c>
      <c r="CS21" s="76">
        <v>42589</v>
      </c>
      <c r="CT21" s="45">
        <v>9</v>
      </c>
      <c r="CU21" s="26">
        <v>107.28788794840789</v>
      </c>
      <c r="CV21" s="75">
        <v>504849309</v>
      </c>
      <c r="CW21" s="76">
        <v>17091003</v>
      </c>
      <c r="CX21" s="76">
        <v>487758306</v>
      </c>
      <c r="CY21" s="76">
        <v>945</v>
      </c>
      <c r="CZ21" s="76">
        <v>43012</v>
      </c>
      <c r="DA21" s="77">
        <v>10</v>
      </c>
      <c r="DB21" s="24">
        <v>478229247.60000002</v>
      </c>
      <c r="DC21" s="76">
        <v>9004313</v>
      </c>
      <c r="DD21" s="76">
        <v>469224934.60000002</v>
      </c>
      <c r="DE21" s="76">
        <v>832.21</v>
      </c>
      <c r="DF21" s="14">
        <v>46986</v>
      </c>
      <c r="DG21" s="77">
        <v>9</v>
      </c>
      <c r="DH21" s="37">
        <v>109.23928206082023</v>
      </c>
      <c r="DI21" s="38">
        <v>110.38646775519794</v>
      </c>
      <c r="DK21" s="24">
        <v>548961703</v>
      </c>
      <c r="DL21" s="76">
        <v>18108895</v>
      </c>
      <c r="DM21" s="76">
        <v>530852808</v>
      </c>
      <c r="DN21" s="76">
        <v>956</v>
      </c>
      <c r="DO21" s="14">
        <v>46274</v>
      </c>
      <c r="DP21" s="77">
        <v>11</v>
      </c>
      <c r="DQ21" s="26">
        <v>108.65246894738078</v>
      </c>
      <c r="DR21" s="24">
        <v>548961703</v>
      </c>
      <c r="DS21" s="76">
        <v>18108895</v>
      </c>
      <c r="DT21" s="76">
        <v>530852808</v>
      </c>
      <c r="DU21" s="76">
        <v>955</v>
      </c>
      <c r="DV21" s="14">
        <v>46322</v>
      </c>
      <c r="DW21" s="77">
        <v>12</v>
      </c>
      <c r="DX21" s="24">
        <v>519550847.80000001</v>
      </c>
      <c r="DY21" s="76">
        <v>9213475</v>
      </c>
      <c r="DZ21" s="76">
        <v>510337372.80000001</v>
      </c>
      <c r="EA21" s="76">
        <v>853.7</v>
      </c>
      <c r="EB21" s="14">
        <v>49816</v>
      </c>
      <c r="EC21" s="77">
        <v>14</v>
      </c>
      <c r="ED21" s="37">
        <v>107.54285220845388</v>
      </c>
      <c r="EE21" s="38">
        <v>106.02307070191121</v>
      </c>
      <c r="EG21" s="24">
        <v>530166003</v>
      </c>
      <c r="EH21" s="76">
        <v>15529172</v>
      </c>
      <c r="EI21" s="76">
        <v>514636831</v>
      </c>
      <c r="EJ21" s="76">
        <v>933</v>
      </c>
      <c r="EK21" s="14">
        <v>45966</v>
      </c>
      <c r="EL21" s="77">
        <v>15</v>
      </c>
      <c r="EM21" s="26">
        <v>99.334399446773574</v>
      </c>
      <c r="EN21" s="24">
        <v>530660835</v>
      </c>
      <c r="EO21" s="76">
        <v>15529172</v>
      </c>
      <c r="EP21" s="76">
        <v>515131663</v>
      </c>
      <c r="EQ21" s="76">
        <v>933</v>
      </c>
      <c r="ER21" s="14">
        <v>46010</v>
      </c>
      <c r="ES21" s="77">
        <v>16</v>
      </c>
      <c r="ET21" s="24">
        <v>549790552.20000005</v>
      </c>
      <c r="EU21" s="76">
        <v>11396563</v>
      </c>
      <c r="EV21" s="76">
        <v>538393989.20000005</v>
      </c>
      <c r="EW21" s="76">
        <v>861.54</v>
      </c>
      <c r="EX21" s="14">
        <v>52077</v>
      </c>
      <c r="EY21" s="27">
        <v>11</v>
      </c>
      <c r="EZ21" s="37">
        <v>113.18626385568355</v>
      </c>
      <c r="FA21" s="38">
        <v>104.53870242492371</v>
      </c>
      <c r="FC21" s="24">
        <v>545743199</v>
      </c>
      <c r="FD21" s="76">
        <v>7287218</v>
      </c>
      <c r="FE21" s="76">
        <v>538455981</v>
      </c>
      <c r="FF21" s="76">
        <v>877</v>
      </c>
      <c r="FG21" s="14">
        <v>51165</v>
      </c>
      <c r="FH21" s="77">
        <v>13</v>
      </c>
      <c r="FI21" s="26">
        <v>111.31053387286256</v>
      </c>
      <c r="FJ21" s="24">
        <v>545872388</v>
      </c>
      <c r="FK21" s="76">
        <v>7287218</v>
      </c>
      <c r="FL21" s="76">
        <v>538585170</v>
      </c>
      <c r="FM21" s="76">
        <v>882</v>
      </c>
      <c r="FN21" s="14">
        <v>50887</v>
      </c>
      <c r="FO21" s="77">
        <v>12</v>
      </c>
      <c r="FP21" s="24">
        <v>549822778</v>
      </c>
      <c r="FQ21" s="76">
        <v>12091334</v>
      </c>
      <c r="FR21" s="76">
        <v>537731444</v>
      </c>
      <c r="FS21" s="76">
        <v>834.02</v>
      </c>
      <c r="FT21" s="14">
        <v>53729</v>
      </c>
      <c r="FU21" s="77">
        <v>12</v>
      </c>
      <c r="FV21" s="37">
        <v>105.58492345785761</v>
      </c>
      <c r="FW21" s="38">
        <v>103.1722257426503</v>
      </c>
      <c r="FY21" s="75">
        <v>608960328</v>
      </c>
      <c r="FZ21" s="76">
        <v>12714173</v>
      </c>
      <c r="GA21" s="76">
        <v>596246155</v>
      </c>
      <c r="GB21" s="76">
        <v>944</v>
      </c>
      <c r="GC21" s="76">
        <v>52635</v>
      </c>
      <c r="GD21" s="77">
        <f t="shared" si="0"/>
        <v>15</v>
      </c>
      <c r="GE21" s="26"/>
      <c r="GF21" s="39">
        <v>661508694</v>
      </c>
      <c r="GG21" s="76">
        <v>13684173</v>
      </c>
      <c r="GH21" s="76">
        <v>647824521</v>
      </c>
      <c r="GI21" s="76">
        <v>982.5</v>
      </c>
      <c r="GJ21" s="14">
        <v>54947</v>
      </c>
      <c r="GK21" s="77">
        <f t="shared" si="1"/>
        <v>9</v>
      </c>
      <c r="GL21" s="39">
        <v>625521923</v>
      </c>
      <c r="GM21" s="76">
        <v>12979594</v>
      </c>
      <c r="GN21" s="295">
        <v>612542329</v>
      </c>
      <c r="GO21" s="76">
        <v>850.24999999999989</v>
      </c>
      <c r="GP21" s="14">
        <v>60036</v>
      </c>
      <c r="GQ21" s="77">
        <f t="shared" si="2"/>
        <v>8</v>
      </c>
      <c r="GR21" s="37">
        <v>109.23928206082023</v>
      </c>
      <c r="GS21" s="38">
        <v>110.38646775519794</v>
      </c>
      <c r="GU21" s="75">
        <v>664940733</v>
      </c>
      <c r="GV21" s="76">
        <v>11968196</v>
      </c>
      <c r="GW21" s="76">
        <v>652972537</v>
      </c>
      <c r="GX21" s="76">
        <v>982</v>
      </c>
      <c r="GY21" s="76">
        <v>55412</v>
      </c>
      <c r="GZ21" s="77">
        <f t="shared" si="3"/>
        <v>17</v>
      </c>
      <c r="HA21" s="26"/>
      <c r="HB21" s="39">
        <v>711930263</v>
      </c>
      <c r="HC21" s="76">
        <v>12629456</v>
      </c>
      <c r="HD21" s="76">
        <v>699300807</v>
      </c>
      <c r="HE21" s="76">
        <v>1004.1700000000001</v>
      </c>
      <c r="HF21" s="14">
        <v>58033</v>
      </c>
      <c r="HG21" s="77">
        <f t="shared" si="4"/>
        <v>11</v>
      </c>
      <c r="HH21" s="39">
        <v>713603096</v>
      </c>
      <c r="HI21" s="76">
        <v>14595826</v>
      </c>
      <c r="HJ21" s="295">
        <v>699007270</v>
      </c>
      <c r="HK21" s="76">
        <v>909.94</v>
      </c>
      <c r="HL21" s="14">
        <v>64016</v>
      </c>
      <c r="HM21" s="77">
        <f t="shared" si="5"/>
        <v>11</v>
      </c>
      <c r="HN21" s="37"/>
      <c r="HO21" s="38"/>
    </row>
    <row r="22" spans="1:223" ht="18" customHeight="1">
      <c r="A22" s="65">
        <v>328</v>
      </c>
      <c r="B22" s="68" t="s">
        <v>87</v>
      </c>
      <c r="C22" s="33" t="s">
        <v>85</v>
      </c>
      <c r="D22" s="41"/>
      <c r="E22" s="75">
        <v>164360000</v>
      </c>
      <c r="F22" s="76">
        <v>7078000</v>
      </c>
      <c r="G22" s="76">
        <v>157282000</v>
      </c>
      <c r="H22" s="76">
        <v>472</v>
      </c>
      <c r="I22" s="76">
        <v>27769</v>
      </c>
      <c r="J22" s="77">
        <v>25</v>
      </c>
      <c r="K22" s="38">
        <v>99.221066923928973</v>
      </c>
      <c r="L22" s="75">
        <v>185171574</v>
      </c>
      <c r="M22" s="76">
        <v>7026920</v>
      </c>
      <c r="N22" s="76">
        <v>178144654</v>
      </c>
      <c r="O22" s="76">
        <v>535</v>
      </c>
      <c r="P22" s="76">
        <v>27748</v>
      </c>
      <c r="Q22" s="77">
        <v>26</v>
      </c>
      <c r="R22" s="75">
        <v>179611779</v>
      </c>
      <c r="S22" s="76">
        <v>7357088</v>
      </c>
      <c r="T22" s="76">
        <v>172254691</v>
      </c>
      <c r="U22" s="76">
        <v>503</v>
      </c>
      <c r="V22" s="76">
        <v>28538</v>
      </c>
      <c r="W22" s="77">
        <v>31</v>
      </c>
      <c r="X22" s="37">
        <v>102.84705203978666</v>
      </c>
      <c r="Y22" s="38">
        <v>101.6201972723712</v>
      </c>
      <c r="AA22" s="75">
        <v>218359082</v>
      </c>
      <c r="AB22" s="76">
        <v>7099970</v>
      </c>
      <c r="AC22" s="76">
        <v>211259112</v>
      </c>
      <c r="AD22" s="76">
        <v>622</v>
      </c>
      <c r="AE22" s="76">
        <v>28304</v>
      </c>
      <c r="AF22" s="77">
        <v>25</v>
      </c>
      <c r="AG22" s="38">
        <v>101.92660880838345</v>
      </c>
      <c r="AH22" s="75">
        <v>219591427</v>
      </c>
      <c r="AI22" s="76">
        <v>7099970</v>
      </c>
      <c r="AJ22" s="76">
        <v>212491457</v>
      </c>
      <c r="AK22" s="76">
        <v>622</v>
      </c>
      <c r="AL22" s="76">
        <v>28469</v>
      </c>
      <c r="AM22" s="77">
        <v>26</v>
      </c>
      <c r="AN22" s="75">
        <v>235837719</v>
      </c>
      <c r="AO22" s="76">
        <v>7514270</v>
      </c>
      <c r="AP22" s="76">
        <v>228323449</v>
      </c>
      <c r="AQ22" s="76">
        <v>628</v>
      </c>
      <c r="AR22" s="76">
        <v>30298</v>
      </c>
      <c r="AS22" s="77">
        <v>30</v>
      </c>
      <c r="AT22" s="37">
        <v>106.4245319470301</v>
      </c>
      <c r="AU22" s="38">
        <v>106.1672156423015</v>
      </c>
      <c r="AW22" s="75">
        <v>229438064</v>
      </c>
      <c r="AX22" s="76">
        <v>7342642</v>
      </c>
      <c r="AY22" s="76">
        <v>222095422</v>
      </c>
      <c r="AZ22" s="76">
        <v>622</v>
      </c>
      <c r="BA22" s="76">
        <v>29756</v>
      </c>
      <c r="BB22" s="27">
        <v>29</v>
      </c>
      <c r="BC22" s="38">
        <v>105.13001695873373</v>
      </c>
      <c r="BD22" s="24">
        <v>230547729</v>
      </c>
      <c r="BE22" s="76">
        <v>7342642</v>
      </c>
      <c r="BF22" s="76">
        <v>223205087</v>
      </c>
      <c r="BG22" s="76">
        <v>622</v>
      </c>
      <c r="BH22" s="14">
        <v>29904</v>
      </c>
      <c r="BI22" s="27">
        <v>28</v>
      </c>
      <c r="BJ22" s="24">
        <v>250678372</v>
      </c>
      <c r="BK22" s="76">
        <v>8173351</v>
      </c>
      <c r="BL22" s="76">
        <v>242505021</v>
      </c>
      <c r="BM22" s="76">
        <v>612</v>
      </c>
      <c r="BN22" s="14">
        <v>33021</v>
      </c>
      <c r="BO22" s="27">
        <v>25</v>
      </c>
      <c r="BP22" s="37">
        <v>110.42335473515249</v>
      </c>
      <c r="BQ22" s="38">
        <v>108.98739190705658</v>
      </c>
      <c r="BS22" s="24">
        <v>243994316</v>
      </c>
      <c r="BT22" s="76">
        <v>7625777</v>
      </c>
      <c r="BU22" s="76">
        <v>236368539</v>
      </c>
      <c r="BV22" s="76">
        <v>633</v>
      </c>
      <c r="BW22" s="14">
        <v>31118</v>
      </c>
      <c r="BX22" s="27">
        <v>31</v>
      </c>
      <c r="BY22" s="26">
        <v>104.57722812205941</v>
      </c>
      <c r="BZ22" s="24">
        <v>249964054</v>
      </c>
      <c r="CA22" s="76">
        <v>11625777</v>
      </c>
      <c r="CB22" s="76">
        <v>238338277</v>
      </c>
      <c r="CC22" s="76">
        <v>633</v>
      </c>
      <c r="CD22" s="14">
        <v>31377</v>
      </c>
      <c r="CE22" s="77">
        <v>31</v>
      </c>
      <c r="CF22" s="24">
        <v>247115106</v>
      </c>
      <c r="CG22" s="76">
        <v>8568192</v>
      </c>
      <c r="CH22" s="76">
        <v>238546914</v>
      </c>
      <c r="CI22" s="76">
        <v>601</v>
      </c>
      <c r="CJ22" s="14">
        <v>33076</v>
      </c>
      <c r="CK22" s="77">
        <v>32</v>
      </c>
      <c r="CL22" s="37">
        <v>105.41479427606208</v>
      </c>
      <c r="CM22" s="38">
        <v>100.1665606735108</v>
      </c>
      <c r="CO22" s="75">
        <v>259217803</v>
      </c>
      <c r="CP22" s="76">
        <v>8099777</v>
      </c>
      <c r="CQ22" s="76">
        <v>251118026</v>
      </c>
      <c r="CR22" s="76">
        <v>633</v>
      </c>
      <c r="CS22" s="76">
        <v>33059</v>
      </c>
      <c r="CT22" s="45">
        <v>30</v>
      </c>
      <c r="CU22" s="26">
        <v>106.23754740021852</v>
      </c>
      <c r="CV22" s="75">
        <v>265289447</v>
      </c>
      <c r="CW22" s="76">
        <v>9102811</v>
      </c>
      <c r="CX22" s="76">
        <v>256186636</v>
      </c>
      <c r="CY22" s="76">
        <v>637.62</v>
      </c>
      <c r="CZ22" s="76">
        <v>33482</v>
      </c>
      <c r="DA22" s="77">
        <v>34</v>
      </c>
      <c r="DB22" s="24">
        <v>266786551</v>
      </c>
      <c r="DC22" s="76">
        <v>10600505</v>
      </c>
      <c r="DD22" s="76">
        <v>256186046</v>
      </c>
      <c r="DE22" s="76">
        <v>583.91999999999996</v>
      </c>
      <c r="DF22" s="14">
        <v>36561</v>
      </c>
      <c r="DG22" s="77">
        <v>32</v>
      </c>
      <c r="DH22" s="37">
        <v>109.19598590287319</v>
      </c>
      <c r="DI22" s="38">
        <v>110.53634054903858</v>
      </c>
      <c r="DK22" s="24">
        <v>295033476</v>
      </c>
      <c r="DL22" s="76">
        <v>8543777</v>
      </c>
      <c r="DM22" s="76">
        <v>286489699</v>
      </c>
      <c r="DN22" s="76">
        <v>663</v>
      </c>
      <c r="DO22" s="14">
        <v>36009</v>
      </c>
      <c r="DP22" s="77">
        <v>35</v>
      </c>
      <c r="DQ22" s="26">
        <v>108.92343991046312</v>
      </c>
      <c r="DR22" s="24">
        <v>297533476</v>
      </c>
      <c r="DS22" s="76">
        <v>11043777</v>
      </c>
      <c r="DT22" s="76">
        <v>286489699</v>
      </c>
      <c r="DU22" s="76">
        <v>663</v>
      </c>
      <c r="DV22" s="14">
        <v>36009</v>
      </c>
      <c r="DW22" s="77">
        <v>36</v>
      </c>
      <c r="DX22" s="24">
        <v>295300306</v>
      </c>
      <c r="DY22" s="76">
        <v>11400520</v>
      </c>
      <c r="DZ22" s="76">
        <v>283899786</v>
      </c>
      <c r="EA22" s="76">
        <v>581.69000000000005</v>
      </c>
      <c r="EB22" s="14">
        <v>40672</v>
      </c>
      <c r="EC22" s="77">
        <v>32</v>
      </c>
      <c r="ED22" s="37">
        <v>112.94954039267961</v>
      </c>
      <c r="EE22" s="38">
        <v>111.24422198517546</v>
      </c>
      <c r="EG22" s="24">
        <v>298854741</v>
      </c>
      <c r="EH22" s="76">
        <v>14276917</v>
      </c>
      <c r="EI22" s="76">
        <v>284577824</v>
      </c>
      <c r="EJ22" s="76">
        <v>627</v>
      </c>
      <c r="EK22" s="14">
        <v>37823</v>
      </c>
      <c r="EL22" s="77">
        <v>35</v>
      </c>
      <c r="EM22" s="26">
        <v>105.03762948151851</v>
      </c>
      <c r="EN22" s="24">
        <v>298854741</v>
      </c>
      <c r="EO22" s="76">
        <v>14276917</v>
      </c>
      <c r="EP22" s="76">
        <v>284577824</v>
      </c>
      <c r="EQ22" s="76">
        <v>627</v>
      </c>
      <c r="ER22" s="14">
        <v>37823</v>
      </c>
      <c r="ES22" s="77">
        <v>36</v>
      </c>
      <c r="ET22" s="24">
        <v>301419158</v>
      </c>
      <c r="EU22" s="76">
        <v>14048380</v>
      </c>
      <c r="EV22" s="76">
        <v>287370778</v>
      </c>
      <c r="EW22" s="76">
        <v>576.66</v>
      </c>
      <c r="EX22" s="14">
        <v>41528</v>
      </c>
      <c r="EY22" s="27">
        <v>35</v>
      </c>
      <c r="EZ22" s="37">
        <v>109.79562699944478</v>
      </c>
      <c r="FA22" s="38">
        <v>102.10464201416207</v>
      </c>
      <c r="FC22" s="24">
        <v>312610788</v>
      </c>
      <c r="FD22" s="76">
        <v>13886777</v>
      </c>
      <c r="FE22" s="76">
        <v>298724011</v>
      </c>
      <c r="FF22" s="76">
        <v>596</v>
      </c>
      <c r="FG22" s="14">
        <v>41768</v>
      </c>
      <c r="FH22" s="77">
        <v>31</v>
      </c>
      <c r="FI22" s="26">
        <v>110.43016154191893</v>
      </c>
      <c r="FJ22" s="24">
        <v>312610788</v>
      </c>
      <c r="FK22" s="76">
        <v>13886777</v>
      </c>
      <c r="FL22" s="76">
        <v>298724011</v>
      </c>
      <c r="FM22" s="76">
        <v>596</v>
      </c>
      <c r="FN22" s="14">
        <v>41768</v>
      </c>
      <c r="FO22" s="77">
        <v>32</v>
      </c>
      <c r="FP22" s="24">
        <v>312969268</v>
      </c>
      <c r="FQ22" s="76">
        <v>15233312</v>
      </c>
      <c r="FR22" s="76">
        <v>297735956</v>
      </c>
      <c r="FS22" s="76">
        <v>563.58000000000004</v>
      </c>
      <c r="FT22" s="14">
        <v>44025</v>
      </c>
      <c r="FU22" s="77">
        <v>33</v>
      </c>
      <c r="FV22" s="37">
        <v>105.40365830300709</v>
      </c>
      <c r="FW22" s="38">
        <v>106.01281063378924</v>
      </c>
      <c r="FY22" s="75">
        <v>325754280</v>
      </c>
      <c r="FZ22" s="76">
        <v>14059777</v>
      </c>
      <c r="GA22" s="76">
        <v>311694503</v>
      </c>
      <c r="GB22" s="76">
        <v>598</v>
      </c>
      <c r="GC22" s="76">
        <v>43436</v>
      </c>
      <c r="GD22" s="77">
        <f t="shared" si="0"/>
        <v>36</v>
      </c>
      <c r="GE22" s="26"/>
      <c r="GF22" s="39">
        <v>327329280</v>
      </c>
      <c r="GG22" s="76">
        <v>14059777</v>
      </c>
      <c r="GH22" s="76">
        <v>313269503</v>
      </c>
      <c r="GI22" s="76">
        <v>587</v>
      </c>
      <c r="GJ22" s="14">
        <v>44473</v>
      </c>
      <c r="GK22" s="77">
        <f t="shared" si="1"/>
        <v>36</v>
      </c>
      <c r="GL22" s="39">
        <v>314887703</v>
      </c>
      <c r="GM22" s="76">
        <v>10313331</v>
      </c>
      <c r="GN22" s="295">
        <v>304574372</v>
      </c>
      <c r="GO22" s="76">
        <v>527.54999999999995</v>
      </c>
      <c r="GP22" s="14">
        <v>48111</v>
      </c>
      <c r="GQ22" s="77">
        <f t="shared" si="2"/>
        <v>34</v>
      </c>
      <c r="GR22" s="37">
        <v>109.19598590287319</v>
      </c>
      <c r="GS22" s="38">
        <v>110.53634054903858</v>
      </c>
      <c r="GU22" s="75">
        <v>361504405</v>
      </c>
      <c r="GV22" s="76">
        <v>15394177</v>
      </c>
      <c r="GW22" s="76">
        <v>346110228</v>
      </c>
      <c r="GX22" s="76">
        <v>587</v>
      </c>
      <c r="GY22" s="76">
        <v>49135</v>
      </c>
      <c r="GZ22" s="77">
        <f t="shared" si="3"/>
        <v>32</v>
      </c>
      <c r="HA22" s="26"/>
      <c r="HB22" s="39">
        <v>361504405</v>
      </c>
      <c r="HC22" s="76">
        <v>15394177</v>
      </c>
      <c r="HD22" s="76">
        <v>346110228</v>
      </c>
      <c r="HE22" s="76">
        <v>587</v>
      </c>
      <c r="HF22" s="14">
        <v>49135</v>
      </c>
      <c r="HG22" s="77">
        <f t="shared" si="4"/>
        <v>32</v>
      </c>
      <c r="HH22" s="39">
        <v>345236633</v>
      </c>
      <c r="HI22" s="76">
        <v>13667252</v>
      </c>
      <c r="HJ22" s="295">
        <v>331569381</v>
      </c>
      <c r="HK22" s="76">
        <v>523.02</v>
      </c>
      <c r="HL22" s="14">
        <v>52829</v>
      </c>
      <c r="HM22" s="77">
        <f t="shared" si="5"/>
        <v>31</v>
      </c>
      <c r="HN22" s="37"/>
      <c r="HO22" s="38"/>
    </row>
    <row r="23" spans="1:223" ht="18" customHeight="1">
      <c r="A23" s="65">
        <v>329</v>
      </c>
      <c r="B23" s="68" t="s">
        <v>31</v>
      </c>
      <c r="C23" s="33" t="s">
        <v>32</v>
      </c>
      <c r="D23" s="41"/>
      <c r="E23" s="75">
        <v>1749991000</v>
      </c>
      <c r="F23" s="76">
        <v>16034000</v>
      </c>
      <c r="G23" s="76">
        <v>1733957000</v>
      </c>
      <c r="H23" s="76">
        <v>5651</v>
      </c>
      <c r="I23" s="76">
        <v>25570</v>
      </c>
      <c r="J23" s="77">
        <v>32</v>
      </c>
      <c r="K23" s="38">
        <v>106.03358905245696</v>
      </c>
      <c r="L23" s="75">
        <v>1920909300</v>
      </c>
      <c r="M23" s="76">
        <v>67110550</v>
      </c>
      <c r="N23" s="76">
        <v>1853798750</v>
      </c>
      <c r="O23" s="76">
        <v>5977</v>
      </c>
      <c r="P23" s="76">
        <v>25846</v>
      </c>
      <c r="Q23" s="77">
        <v>33</v>
      </c>
      <c r="R23" s="75">
        <v>1912292530</v>
      </c>
      <c r="S23" s="76">
        <v>51289381</v>
      </c>
      <c r="T23" s="76">
        <v>1861003149</v>
      </c>
      <c r="U23" s="76">
        <v>5431</v>
      </c>
      <c r="V23" s="76">
        <v>28555</v>
      </c>
      <c r="W23" s="77">
        <v>30</v>
      </c>
      <c r="X23" s="37">
        <v>110.48131238876422</v>
      </c>
      <c r="Y23" s="38">
        <v>106.68385264888292</v>
      </c>
      <c r="AA23" s="75">
        <v>1964263550</v>
      </c>
      <c r="AB23" s="76">
        <v>20082680</v>
      </c>
      <c r="AC23" s="76">
        <v>1944180870</v>
      </c>
      <c r="AD23" s="76">
        <v>5905</v>
      </c>
      <c r="AE23" s="76">
        <v>27437</v>
      </c>
      <c r="AF23" s="77">
        <v>30</v>
      </c>
      <c r="AG23" s="38">
        <v>107.3015252248729</v>
      </c>
      <c r="AH23" s="75">
        <v>1975945038</v>
      </c>
      <c r="AI23" s="76">
        <v>23749020</v>
      </c>
      <c r="AJ23" s="76">
        <v>1952196018</v>
      </c>
      <c r="AK23" s="76">
        <v>5905</v>
      </c>
      <c r="AL23" s="76">
        <v>27550</v>
      </c>
      <c r="AM23" s="77">
        <v>31</v>
      </c>
      <c r="AN23" s="75">
        <v>1920017565</v>
      </c>
      <c r="AO23" s="76">
        <v>28657396</v>
      </c>
      <c r="AP23" s="76">
        <v>1891360169</v>
      </c>
      <c r="AQ23" s="76">
        <v>5233</v>
      </c>
      <c r="AR23" s="76">
        <v>30119</v>
      </c>
      <c r="AS23" s="77">
        <v>31</v>
      </c>
      <c r="AT23" s="37">
        <v>109.32486388384754</v>
      </c>
      <c r="AU23" s="38">
        <v>105.47714936088251</v>
      </c>
      <c r="AW23" s="75">
        <v>2032201997</v>
      </c>
      <c r="AX23" s="76">
        <v>20627692</v>
      </c>
      <c r="AY23" s="76">
        <v>2011574305</v>
      </c>
      <c r="AZ23" s="76">
        <v>5567</v>
      </c>
      <c r="BA23" s="76">
        <v>30112</v>
      </c>
      <c r="BB23" s="27">
        <v>27</v>
      </c>
      <c r="BC23" s="38">
        <v>109.74960819331561</v>
      </c>
      <c r="BD23" s="24">
        <v>2044239641</v>
      </c>
      <c r="BE23" s="76">
        <v>25263064</v>
      </c>
      <c r="BF23" s="76">
        <v>2018976577</v>
      </c>
      <c r="BG23" s="76">
        <v>5634</v>
      </c>
      <c r="BH23" s="14">
        <v>29863</v>
      </c>
      <c r="BI23" s="27">
        <v>29</v>
      </c>
      <c r="BJ23" s="24">
        <v>2068942548</v>
      </c>
      <c r="BK23" s="76">
        <v>29277731</v>
      </c>
      <c r="BL23" s="76">
        <v>2039664817</v>
      </c>
      <c r="BM23" s="76">
        <v>5484</v>
      </c>
      <c r="BN23" s="14">
        <v>30994</v>
      </c>
      <c r="BO23" s="27">
        <v>31</v>
      </c>
      <c r="BP23" s="37">
        <v>103.78729531527308</v>
      </c>
      <c r="BQ23" s="38">
        <v>102.90514293303229</v>
      </c>
      <c r="BS23" s="24">
        <v>2183343092</v>
      </c>
      <c r="BT23" s="76">
        <v>24345172</v>
      </c>
      <c r="BU23" s="76">
        <v>2158997920</v>
      </c>
      <c r="BV23" s="76">
        <v>5714</v>
      </c>
      <c r="BW23" s="14">
        <v>31487</v>
      </c>
      <c r="BX23" s="27">
        <v>29</v>
      </c>
      <c r="BY23" s="26">
        <v>104.56628586609989</v>
      </c>
      <c r="BZ23" s="24">
        <v>2213588444</v>
      </c>
      <c r="CA23" s="76">
        <v>38321372</v>
      </c>
      <c r="CB23" s="76">
        <v>2175267072</v>
      </c>
      <c r="CC23" s="76">
        <v>5732</v>
      </c>
      <c r="CD23" s="14">
        <v>31625</v>
      </c>
      <c r="CE23" s="77">
        <v>30</v>
      </c>
      <c r="CF23" s="24">
        <v>2247554705</v>
      </c>
      <c r="CG23" s="76">
        <v>38300227</v>
      </c>
      <c r="CH23" s="76">
        <v>2209254478</v>
      </c>
      <c r="CI23" s="76">
        <v>5495</v>
      </c>
      <c r="CJ23" s="14">
        <v>33504</v>
      </c>
      <c r="CK23" s="77">
        <v>31</v>
      </c>
      <c r="CL23" s="37">
        <v>105.94150197628458</v>
      </c>
      <c r="CM23" s="38">
        <v>108.09834161450604</v>
      </c>
      <c r="CO23" s="75">
        <v>2305360610</v>
      </c>
      <c r="CP23" s="76">
        <v>26634612</v>
      </c>
      <c r="CQ23" s="76">
        <v>2278725998</v>
      </c>
      <c r="CR23" s="76">
        <v>5686</v>
      </c>
      <c r="CS23" s="76">
        <v>33397</v>
      </c>
      <c r="CT23" s="45">
        <v>29</v>
      </c>
      <c r="CU23" s="26">
        <v>106.0659954902023</v>
      </c>
      <c r="CV23" s="75">
        <v>2345202188</v>
      </c>
      <c r="CW23" s="76">
        <v>56017534</v>
      </c>
      <c r="CX23" s="76">
        <v>2289184654</v>
      </c>
      <c r="CY23" s="76">
        <v>5688.25</v>
      </c>
      <c r="CZ23" s="76">
        <v>33537</v>
      </c>
      <c r="DA23" s="77">
        <v>33</v>
      </c>
      <c r="DB23" s="24">
        <v>2413697675</v>
      </c>
      <c r="DC23" s="76">
        <v>58342577</v>
      </c>
      <c r="DD23" s="76">
        <v>2355355098</v>
      </c>
      <c r="DE23" s="76">
        <v>5430.4349999999995</v>
      </c>
      <c r="DF23" s="14">
        <v>36144</v>
      </c>
      <c r="DG23" s="77">
        <v>34</v>
      </c>
      <c r="DH23" s="37">
        <v>107.77350389122462</v>
      </c>
      <c r="DI23" s="38">
        <v>107.87965616045845</v>
      </c>
      <c r="DK23" s="24">
        <v>2508329213</v>
      </c>
      <c r="DL23" s="76">
        <v>36840733</v>
      </c>
      <c r="DM23" s="76">
        <v>2471488480</v>
      </c>
      <c r="DN23" s="76">
        <v>5674</v>
      </c>
      <c r="DO23" s="14">
        <v>36298</v>
      </c>
      <c r="DP23" s="77">
        <v>34</v>
      </c>
      <c r="DQ23" s="26">
        <v>108.68640895888852</v>
      </c>
      <c r="DR23" s="24">
        <v>2508340893</v>
      </c>
      <c r="DS23" s="76">
        <v>40683851</v>
      </c>
      <c r="DT23" s="76">
        <v>2467657042</v>
      </c>
      <c r="DU23" s="76">
        <v>5666</v>
      </c>
      <c r="DV23" s="14">
        <v>36293</v>
      </c>
      <c r="DW23" s="77">
        <v>35</v>
      </c>
      <c r="DX23" s="24">
        <v>2549510057</v>
      </c>
      <c r="DY23" s="76">
        <v>35949478</v>
      </c>
      <c r="DZ23" s="76">
        <v>2513560579</v>
      </c>
      <c r="EA23" s="76">
        <v>5456.11</v>
      </c>
      <c r="EB23" s="14">
        <v>38391</v>
      </c>
      <c r="EC23" s="77">
        <v>36</v>
      </c>
      <c r="ED23" s="37">
        <v>105.78072906621112</v>
      </c>
      <c r="EE23" s="38">
        <v>106.21679946879151</v>
      </c>
      <c r="EG23" s="24">
        <v>2625139514</v>
      </c>
      <c r="EH23" s="76">
        <v>42517509</v>
      </c>
      <c r="EI23" s="76">
        <v>2582622005</v>
      </c>
      <c r="EJ23" s="76">
        <v>5589</v>
      </c>
      <c r="EK23" s="14">
        <v>38508</v>
      </c>
      <c r="EL23" s="77">
        <v>32</v>
      </c>
      <c r="EM23" s="26">
        <v>106.08848972395172</v>
      </c>
      <c r="EN23" s="24">
        <v>2628823362</v>
      </c>
      <c r="EO23" s="76">
        <v>44714509</v>
      </c>
      <c r="EP23" s="76">
        <v>2584108853</v>
      </c>
      <c r="EQ23" s="76">
        <v>5585</v>
      </c>
      <c r="ER23" s="14">
        <v>38557</v>
      </c>
      <c r="ES23" s="77">
        <v>34</v>
      </c>
      <c r="ET23" s="24">
        <v>2657604747</v>
      </c>
      <c r="EU23" s="76">
        <v>36303058</v>
      </c>
      <c r="EV23" s="76">
        <v>2621301689</v>
      </c>
      <c r="EW23" s="76">
        <v>5397.65</v>
      </c>
      <c r="EX23" s="14">
        <v>40470</v>
      </c>
      <c r="EY23" s="27">
        <v>37</v>
      </c>
      <c r="EZ23" s="37">
        <v>104.96148559275878</v>
      </c>
      <c r="FA23" s="38">
        <v>105.41533171837149</v>
      </c>
      <c r="FC23" s="24">
        <v>2680374061</v>
      </c>
      <c r="FD23" s="76">
        <v>40559557</v>
      </c>
      <c r="FE23" s="76">
        <v>2639814504</v>
      </c>
      <c r="FF23" s="76">
        <v>5496</v>
      </c>
      <c r="FG23" s="14">
        <v>40026</v>
      </c>
      <c r="FH23" s="77">
        <v>35</v>
      </c>
      <c r="FI23" s="26">
        <v>103.94203801807416</v>
      </c>
      <c r="FJ23" s="24">
        <v>2679081061</v>
      </c>
      <c r="FK23" s="76">
        <v>41949557</v>
      </c>
      <c r="FL23" s="76">
        <v>2637131504</v>
      </c>
      <c r="FM23" s="76">
        <v>5497.67</v>
      </c>
      <c r="FN23" s="14">
        <v>39973</v>
      </c>
      <c r="FO23" s="77">
        <v>37</v>
      </c>
      <c r="FP23" s="24">
        <v>2714776206</v>
      </c>
      <c r="FQ23" s="76">
        <v>32687984</v>
      </c>
      <c r="FR23" s="76">
        <v>2682088222</v>
      </c>
      <c r="FS23" s="76">
        <v>5316.49</v>
      </c>
      <c r="FT23" s="14">
        <v>42040</v>
      </c>
      <c r="FU23" s="77">
        <v>36</v>
      </c>
      <c r="FV23" s="37">
        <v>105.17099041853251</v>
      </c>
      <c r="FW23" s="38">
        <v>103.87941685198913</v>
      </c>
      <c r="FY23" s="75">
        <v>2740084717</v>
      </c>
      <c r="FZ23" s="76">
        <v>45247138</v>
      </c>
      <c r="GA23" s="76">
        <v>2694837579</v>
      </c>
      <c r="GB23" s="76">
        <v>5460.63</v>
      </c>
      <c r="GC23" s="76">
        <v>41125</v>
      </c>
      <c r="GD23" s="77">
        <f t="shared" si="0"/>
        <v>40</v>
      </c>
      <c r="GE23" s="26"/>
      <c r="GF23" s="39">
        <v>2833251047</v>
      </c>
      <c r="GG23" s="76">
        <v>48550753</v>
      </c>
      <c r="GH23" s="76">
        <v>2784700294</v>
      </c>
      <c r="GI23" s="76">
        <v>5285.48</v>
      </c>
      <c r="GJ23" s="14">
        <v>43905</v>
      </c>
      <c r="GK23" s="77">
        <f t="shared" si="1"/>
        <v>38</v>
      </c>
      <c r="GL23" s="39">
        <v>2820978726</v>
      </c>
      <c r="GM23" s="76">
        <v>56340954</v>
      </c>
      <c r="GN23" s="295">
        <v>2764637772</v>
      </c>
      <c r="GO23" s="76">
        <v>5133.2099999999991</v>
      </c>
      <c r="GP23" s="14">
        <v>44882</v>
      </c>
      <c r="GQ23" s="77">
        <f t="shared" si="2"/>
        <v>40</v>
      </c>
      <c r="GR23" s="37">
        <v>107.77350389122462</v>
      </c>
      <c r="GS23" s="38">
        <v>107.87965616045845</v>
      </c>
      <c r="GU23" s="75">
        <v>2920590924</v>
      </c>
      <c r="GV23" s="76">
        <v>39467882</v>
      </c>
      <c r="GW23" s="76">
        <v>2881123042</v>
      </c>
      <c r="GX23" s="76">
        <v>5288.6</v>
      </c>
      <c r="GY23" s="76">
        <v>45398</v>
      </c>
      <c r="GZ23" s="77">
        <f t="shared" si="3"/>
        <v>37</v>
      </c>
      <c r="HA23" s="26"/>
      <c r="HB23" s="39">
        <v>2964466576</v>
      </c>
      <c r="HC23" s="76">
        <v>47463892</v>
      </c>
      <c r="HD23" s="76">
        <v>2917002684</v>
      </c>
      <c r="HE23" s="76">
        <v>5254.35</v>
      </c>
      <c r="HF23" s="14">
        <v>46263</v>
      </c>
      <c r="HG23" s="77">
        <f t="shared" si="4"/>
        <v>37</v>
      </c>
      <c r="HH23" s="39">
        <v>2968764235</v>
      </c>
      <c r="HI23" s="76">
        <v>43646145</v>
      </c>
      <c r="HJ23" s="295">
        <v>2925118090</v>
      </c>
      <c r="HK23" s="76">
        <v>5082.3100000000004</v>
      </c>
      <c r="HL23" s="14">
        <v>47962</v>
      </c>
      <c r="HM23" s="77">
        <f t="shared" si="5"/>
        <v>40</v>
      </c>
      <c r="HN23" s="37"/>
      <c r="HO23" s="38"/>
    </row>
    <row r="24" spans="1:223" ht="18" customHeight="1">
      <c r="A24" s="65">
        <v>333</v>
      </c>
      <c r="B24" s="68" t="s">
        <v>33</v>
      </c>
      <c r="C24" s="33" t="s">
        <v>34</v>
      </c>
      <c r="D24" s="41"/>
      <c r="E24" s="75">
        <v>785934000</v>
      </c>
      <c r="F24" s="76">
        <v>182318000</v>
      </c>
      <c r="G24" s="76">
        <v>603616000</v>
      </c>
      <c r="H24" s="76">
        <v>1488</v>
      </c>
      <c r="I24" s="76">
        <v>33805</v>
      </c>
      <c r="J24" s="77">
        <v>13</v>
      </c>
      <c r="K24" s="38">
        <v>99.528926836449287</v>
      </c>
      <c r="L24" s="75">
        <v>861437000</v>
      </c>
      <c r="M24" s="76">
        <v>245020000</v>
      </c>
      <c r="N24" s="76">
        <v>616417000</v>
      </c>
      <c r="O24" s="76">
        <v>1545</v>
      </c>
      <c r="P24" s="76">
        <v>33248</v>
      </c>
      <c r="Q24" s="77">
        <v>17</v>
      </c>
      <c r="R24" s="75">
        <v>708902852</v>
      </c>
      <c r="S24" s="76">
        <v>106866734</v>
      </c>
      <c r="T24" s="76">
        <v>602036118</v>
      </c>
      <c r="U24" s="76">
        <v>1442</v>
      </c>
      <c r="V24" s="76">
        <v>34792</v>
      </c>
      <c r="W24" s="77">
        <v>19</v>
      </c>
      <c r="X24" s="37">
        <v>104.64388835418671</v>
      </c>
      <c r="Y24" s="38">
        <v>100.56072605352911</v>
      </c>
      <c r="AA24" s="75">
        <v>842879946</v>
      </c>
      <c r="AB24" s="76">
        <v>207104533</v>
      </c>
      <c r="AC24" s="76">
        <v>635775413</v>
      </c>
      <c r="AD24" s="76">
        <v>1583</v>
      </c>
      <c r="AE24" s="76">
        <v>33469</v>
      </c>
      <c r="AF24" s="77">
        <v>18</v>
      </c>
      <c r="AG24" s="38">
        <v>99.006064191687614</v>
      </c>
      <c r="AH24" s="75">
        <v>848054783</v>
      </c>
      <c r="AI24" s="76">
        <v>205711133</v>
      </c>
      <c r="AJ24" s="76">
        <v>642343650</v>
      </c>
      <c r="AK24" s="76">
        <v>1591</v>
      </c>
      <c r="AL24" s="76">
        <v>33645</v>
      </c>
      <c r="AM24" s="77">
        <v>19</v>
      </c>
      <c r="AN24" s="75">
        <v>883092353</v>
      </c>
      <c r="AO24" s="76">
        <v>239451174</v>
      </c>
      <c r="AP24" s="76">
        <v>643641179</v>
      </c>
      <c r="AQ24" s="76">
        <v>1488</v>
      </c>
      <c r="AR24" s="76">
        <v>36046</v>
      </c>
      <c r="AS24" s="77">
        <v>18</v>
      </c>
      <c r="AT24" s="37">
        <v>107.13627582107297</v>
      </c>
      <c r="AU24" s="38">
        <v>103.60427684525177</v>
      </c>
      <c r="AW24" s="75">
        <v>842846777</v>
      </c>
      <c r="AX24" s="76">
        <v>192815124</v>
      </c>
      <c r="AY24" s="76">
        <v>650031653</v>
      </c>
      <c r="AZ24" s="76">
        <v>1569</v>
      </c>
      <c r="BA24" s="76">
        <v>34525</v>
      </c>
      <c r="BB24" s="27">
        <v>21</v>
      </c>
      <c r="BC24" s="38">
        <v>103.15515850488512</v>
      </c>
      <c r="BD24" s="24">
        <v>848494499</v>
      </c>
      <c r="BE24" s="76">
        <v>192902724</v>
      </c>
      <c r="BF24" s="76">
        <v>655591775</v>
      </c>
      <c r="BG24" s="76">
        <v>1577</v>
      </c>
      <c r="BH24" s="14">
        <v>34643</v>
      </c>
      <c r="BI24" s="27">
        <v>21</v>
      </c>
      <c r="BJ24" s="24">
        <v>879050225.5</v>
      </c>
      <c r="BK24" s="76">
        <v>204683068.5</v>
      </c>
      <c r="BL24" s="76">
        <v>674367157</v>
      </c>
      <c r="BM24" s="76">
        <v>1507</v>
      </c>
      <c r="BN24" s="14">
        <v>37291</v>
      </c>
      <c r="BO24" s="27">
        <v>19</v>
      </c>
      <c r="BP24" s="37">
        <v>107.64367981987704</v>
      </c>
      <c r="BQ24" s="38">
        <v>103.45391999112246</v>
      </c>
      <c r="BS24" s="24">
        <v>827413333</v>
      </c>
      <c r="BT24" s="76">
        <v>159490086</v>
      </c>
      <c r="BU24" s="76">
        <v>667923247</v>
      </c>
      <c r="BV24" s="76">
        <v>1544</v>
      </c>
      <c r="BW24" s="14">
        <v>36049</v>
      </c>
      <c r="BX24" s="27">
        <v>21</v>
      </c>
      <c r="BY24" s="26">
        <v>104.41419261404778</v>
      </c>
      <c r="BZ24" s="24">
        <v>844199269</v>
      </c>
      <c r="CA24" s="76">
        <v>163099086</v>
      </c>
      <c r="CB24" s="76">
        <v>681100183</v>
      </c>
      <c r="CC24" s="76">
        <v>1551</v>
      </c>
      <c r="CD24" s="14">
        <v>36595</v>
      </c>
      <c r="CE24" s="77">
        <v>21</v>
      </c>
      <c r="CF24" s="24">
        <v>736967445</v>
      </c>
      <c r="CG24" s="76">
        <v>74309228</v>
      </c>
      <c r="CH24" s="76">
        <v>662658217</v>
      </c>
      <c r="CI24" s="76">
        <v>1432</v>
      </c>
      <c r="CJ24" s="14">
        <v>38563</v>
      </c>
      <c r="CK24" s="77">
        <v>20</v>
      </c>
      <c r="CL24" s="37">
        <v>105.37778385025275</v>
      </c>
      <c r="CM24" s="38">
        <v>103.41101069963261</v>
      </c>
      <c r="CO24" s="75">
        <v>872937724</v>
      </c>
      <c r="CP24" s="76">
        <v>105676165</v>
      </c>
      <c r="CQ24" s="76">
        <v>767261559</v>
      </c>
      <c r="CR24" s="76">
        <v>1638</v>
      </c>
      <c r="CS24" s="76">
        <v>39034</v>
      </c>
      <c r="CT24" s="45">
        <v>20</v>
      </c>
      <c r="CU24" s="26">
        <v>108.28039612749313</v>
      </c>
      <c r="CV24" s="75">
        <v>896587625</v>
      </c>
      <c r="CW24" s="76">
        <v>116366736</v>
      </c>
      <c r="CX24" s="76">
        <v>780220889</v>
      </c>
      <c r="CY24" s="76">
        <v>1642.38</v>
      </c>
      <c r="CZ24" s="76">
        <v>39588</v>
      </c>
      <c r="DA24" s="77">
        <v>23</v>
      </c>
      <c r="DB24" s="24">
        <v>859113996.80999994</v>
      </c>
      <c r="DC24" s="76">
        <v>104965778.81</v>
      </c>
      <c r="DD24" s="76">
        <v>754148218</v>
      </c>
      <c r="DE24" s="76">
        <v>1483</v>
      </c>
      <c r="DF24" s="14">
        <v>42377</v>
      </c>
      <c r="DG24" s="77">
        <v>22</v>
      </c>
      <c r="DH24" s="37">
        <v>107.04506416085681</v>
      </c>
      <c r="DI24" s="38">
        <v>109.89030936389803</v>
      </c>
      <c r="DK24" s="24">
        <v>933822946</v>
      </c>
      <c r="DL24" s="76">
        <v>88058631</v>
      </c>
      <c r="DM24" s="76">
        <v>845764315</v>
      </c>
      <c r="DN24" s="76">
        <v>1683.91</v>
      </c>
      <c r="DO24" s="14">
        <v>41855</v>
      </c>
      <c r="DP24" s="77">
        <v>23</v>
      </c>
      <c r="DQ24" s="26">
        <v>107.22703284316238</v>
      </c>
      <c r="DR24" s="24">
        <v>933822946</v>
      </c>
      <c r="DS24" s="76">
        <v>88058631</v>
      </c>
      <c r="DT24" s="76">
        <v>845764315</v>
      </c>
      <c r="DU24" s="76">
        <v>1683.9099999999999</v>
      </c>
      <c r="DV24" s="14">
        <v>41855</v>
      </c>
      <c r="DW24" s="77">
        <v>24</v>
      </c>
      <c r="DX24" s="24">
        <v>919984820</v>
      </c>
      <c r="DY24" s="76">
        <v>85758258</v>
      </c>
      <c r="DZ24" s="76">
        <v>834226562</v>
      </c>
      <c r="EA24" s="76">
        <v>1517.54</v>
      </c>
      <c r="EB24" s="14">
        <v>45810</v>
      </c>
      <c r="EC24" s="77">
        <v>22</v>
      </c>
      <c r="ED24" s="37">
        <v>109.44928921275834</v>
      </c>
      <c r="EE24" s="38">
        <v>108.10109257380182</v>
      </c>
      <c r="EG24" s="24">
        <v>945373270</v>
      </c>
      <c r="EH24" s="76">
        <v>83501059</v>
      </c>
      <c r="EI24" s="76">
        <v>861872211</v>
      </c>
      <c r="EJ24" s="76">
        <v>1651.48</v>
      </c>
      <c r="EK24" s="14">
        <v>43490</v>
      </c>
      <c r="EL24" s="77">
        <v>21</v>
      </c>
      <c r="EM24" s="26">
        <v>103.90634332815674</v>
      </c>
      <c r="EN24" s="24">
        <v>947045337</v>
      </c>
      <c r="EO24" s="76">
        <v>84284680</v>
      </c>
      <c r="EP24" s="76">
        <v>862760657</v>
      </c>
      <c r="EQ24" s="76">
        <v>1654</v>
      </c>
      <c r="ER24" s="14">
        <v>43468</v>
      </c>
      <c r="ES24" s="77">
        <v>22</v>
      </c>
      <c r="ET24" s="24">
        <v>980458831</v>
      </c>
      <c r="EU24" s="76">
        <v>86798797</v>
      </c>
      <c r="EV24" s="76">
        <v>893660034</v>
      </c>
      <c r="EW24" s="76">
        <v>1523.35</v>
      </c>
      <c r="EX24" s="14">
        <v>48887</v>
      </c>
      <c r="EY24" s="27">
        <v>20</v>
      </c>
      <c r="EZ24" s="37">
        <v>112.46664212754209</v>
      </c>
      <c r="FA24" s="38">
        <v>106.71687404496835</v>
      </c>
      <c r="FC24" s="24">
        <v>986277291</v>
      </c>
      <c r="FD24" s="76">
        <v>72954578</v>
      </c>
      <c r="FE24" s="76">
        <v>913322713</v>
      </c>
      <c r="FF24" s="76">
        <v>1634.65</v>
      </c>
      <c r="FG24" s="14">
        <v>46561</v>
      </c>
      <c r="FH24" s="77">
        <v>22</v>
      </c>
      <c r="FI24" s="26">
        <v>107.06139342377558</v>
      </c>
      <c r="FJ24" s="24">
        <v>986740371</v>
      </c>
      <c r="FK24" s="76">
        <v>72954578</v>
      </c>
      <c r="FL24" s="76">
        <v>913785793</v>
      </c>
      <c r="FM24" s="76">
        <v>1636.65</v>
      </c>
      <c r="FN24" s="14">
        <v>46527</v>
      </c>
      <c r="FO24" s="77">
        <v>22</v>
      </c>
      <c r="FP24" s="24">
        <v>972083030</v>
      </c>
      <c r="FQ24" s="76">
        <v>69430981</v>
      </c>
      <c r="FR24" s="76">
        <v>902652049</v>
      </c>
      <c r="FS24" s="76">
        <v>1505.3000000000002</v>
      </c>
      <c r="FT24" s="14">
        <v>49971</v>
      </c>
      <c r="FU24" s="77">
        <v>22</v>
      </c>
      <c r="FV24" s="37">
        <v>107.40215358823907</v>
      </c>
      <c r="FW24" s="38">
        <v>102.21735839793811</v>
      </c>
      <c r="FY24" s="75">
        <v>1159369750</v>
      </c>
      <c r="FZ24" s="76">
        <v>112539796</v>
      </c>
      <c r="GA24" s="76">
        <v>1046829954</v>
      </c>
      <c r="GB24" s="76">
        <v>1743.0400000000002</v>
      </c>
      <c r="GC24" s="76">
        <v>50048</v>
      </c>
      <c r="GD24" s="77">
        <f t="shared" si="0"/>
        <v>22</v>
      </c>
      <c r="GE24" s="26"/>
      <c r="GF24" s="39">
        <v>1202927150</v>
      </c>
      <c r="GG24" s="76">
        <v>112539796</v>
      </c>
      <c r="GH24" s="76">
        <v>1090387354</v>
      </c>
      <c r="GI24" s="76">
        <v>1692.95</v>
      </c>
      <c r="GJ24" s="14">
        <v>53673</v>
      </c>
      <c r="GK24" s="77">
        <f t="shared" si="1"/>
        <v>13</v>
      </c>
      <c r="GL24" s="39">
        <v>1122734021</v>
      </c>
      <c r="GM24" s="76">
        <v>81041419</v>
      </c>
      <c r="GN24" s="295">
        <v>1041692602</v>
      </c>
      <c r="GO24" s="76">
        <v>1558.3600000000001</v>
      </c>
      <c r="GP24" s="14">
        <v>55705</v>
      </c>
      <c r="GQ24" s="77">
        <f t="shared" si="2"/>
        <v>17</v>
      </c>
      <c r="GR24" s="37">
        <v>107.04506416085681</v>
      </c>
      <c r="GS24" s="38">
        <v>109.89030936389803</v>
      </c>
      <c r="GU24" s="75">
        <v>1220191686</v>
      </c>
      <c r="GV24" s="76">
        <v>104339899</v>
      </c>
      <c r="GW24" s="76">
        <v>1115851787</v>
      </c>
      <c r="GX24" s="76">
        <v>1742.19</v>
      </c>
      <c r="GY24" s="76">
        <v>53374</v>
      </c>
      <c r="GZ24" s="77">
        <f t="shared" si="3"/>
        <v>23</v>
      </c>
      <c r="HA24" s="26"/>
      <c r="HB24" s="39">
        <v>1236511572</v>
      </c>
      <c r="HC24" s="76">
        <v>118149988</v>
      </c>
      <c r="HD24" s="76">
        <v>1118361584</v>
      </c>
      <c r="HE24" s="76">
        <v>1733.8100000000002</v>
      </c>
      <c r="HF24" s="14">
        <v>53753</v>
      </c>
      <c r="HG24" s="77">
        <f t="shared" si="4"/>
        <v>22</v>
      </c>
      <c r="HH24" s="39">
        <v>1195827120</v>
      </c>
      <c r="HI24" s="76">
        <v>90200978</v>
      </c>
      <c r="HJ24" s="295">
        <v>1105626142</v>
      </c>
      <c r="HK24" s="76">
        <v>1598.98</v>
      </c>
      <c r="HL24" s="14">
        <v>57621</v>
      </c>
      <c r="HM24" s="77">
        <f t="shared" si="5"/>
        <v>19</v>
      </c>
      <c r="HN24" s="37"/>
      <c r="HO24" s="38"/>
    </row>
    <row r="25" spans="1:223" ht="18" customHeight="1">
      <c r="A25" s="65">
        <v>334</v>
      </c>
      <c r="B25" s="68" t="s">
        <v>35</v>
      </c>
      <c r="C25" s="33" t="s">
        <v>36</v>
      </c>
      <c r="D25" s="41"/>
      <c r="E25" s="75">
        <v>132912000</v>
      </c>
      <c r="F25" s="76">
        <v>12909000</v>
      </c>
      <c r="G25" s="76">
        <v>120003000</v>
      </c>
      <c r="H25" s="76">
        <v>297</v>
      </c>
      <c r="I25" s="76">
        <v>33671</v>
      </c>
      <c r="J25" s="77">
        <v>14</v>
      </c>
      <c r="K25" s="38">
        <v>105.79714698674042</v>
      </c>
      <c r="L25" s="75">
        <v>134677527</v>
      </c>
      <c r="M25" s="76">
        <v>13587730</v>
      </c>
      <c r="N25" s="76">
        <v>121089797</v>
      </c>
      <c r="O25" s="76">
        <v>296</v>
      </c>
      <c r="P25" s="76">
        <v>34091</v>
      </c>
      <c r="Q25" s="77">
        <v>14</v>
      </c>
      <c r="R25" s="75">
        <v>131600380</v>
      </c>
      <c r="S25" s="76">
        <v>11572396</v>
      </c>
      <c r="T25" s="76">
        <v>120027984</v>
      </c>
      <c r="U25" s="76">
        <v>270</v>
      </c>
      <c r="V25" s="76">
        <v>37046</v>
      </c>
      <c r="W25" s="77">
        <v>14</v>
      </c>
      <c r="X25" s="37">
        <v>108.66797688539498</v>
      </c>
      <c r="Y25" s="38">
        <v>104.21402047935186</v>
      </c>
      <c r="AA25" s="75">
        <v>135045220</v>
      </c>
      <c r="AB25" s="76">
        <v>11634000</v>
      </c>
      <c r="AC25" s="76">
        <v>123411220</v>
      </c>
      <c r="AD25" s="76">
        <v>299</v>
      </c>
      <c r="AE25" s="76">
        <v>34396</v>
      </c>
      <c r="AF25" s="77">
        <v>15</v>
      </c>
      <c r="AG25" s="38">
        <v>102.15318820349857</v>
      </c>
      <c r="AH25" s="75">
        <v>124772909</v>
      </c>
      <c r="AI25" s="76">
        <v>9934000</v>
      </c>
      <c r="AJ25" s="76">
        <v>114838909</v>
      </c>
      <c r="AK25" s="76">
        <v>281</v>
      </c>
      <c r="AL25" s="76">
        <v>34057</v>
      </c>
      <c r="AM25" s="77">
        <v>17</v>
      </c>
      <c r="AN25" s="75">
        <v>127218550</v>
      </c>
      <c r="AO25" s="76">
        <v>11530811</v>
      </c>
      <c r="AP25" s="76">
        <v>115687739</v>
      </c>
      <c r="AQ25" s="76">
        <v>258</v>
      </c>
      <c r="AR25" s="76">
        <v>37367</v>
      </c>
      <c r="AS25" s="77">
        <v>13</v>
      </c>
      <c r="AT25" s="37">
        <v>109.71900049916317</v>
      </c>
      <c r="AU25" s="38">
        <v>100.86649030934514</v>
      </c>
      <c r="AW25" s="75">
        <v>131367987</v>
      </c>
      <c r="AX25" s="76">
        <v>10650877</v>
      </c>
      <c r="AY25" s="76">
        <v>120717110</v>
      </c>
      <c r="AZ25" s="76">
        <v>263</v>
      </c>
      <c r="BA25" s="76">
        <v>38250</v>
      </c>
      <c r="BB25" s="27">
        <v>12</v>
      </c>
      <c r="BC25" s="38">
        <v>111.20479125479707</v>
      </c>
      <c r="BD25" s="24">
        <v>132591573</v>
      </c>
      <c r="BE25" s="76">
        <v>11270877</v>
      </c>
      <c r="BF25" s="76">
        <v>121320696</v>
      </c>
      <c r="BG25" s="76">
        <v>268</v>
      </c>
      <c r="BH25" s="14">
        <v>37724</v>
      </c>
      <c r="BI25" s="27">
        <v>13</v>
      </c>
      <c r="BJ25" s="24">
        <v>139505828.75</v>
      </c>
      <c r="BK25" s="76">
        <v>14168050</v>
      </c>
      <c r="BL25" s="76">
        <v>125337778.75</v>
      </c>
      <c r="BM25" s="76">
        <v>262</v>
      </c>
      <c r="BN25" s="14">
        <v>39866</v>
      </c>
      <c r="BO25" s="27">
        <v>12</v>
      </c>
      <c r="BP25" s="37">
        <v>105.67808291803627</v>
      </c>
      <c r="BQ25" s="38">
        <v>106.68771911044506</v>
      </c>
      <c r="BS25" s="24">
        <v>137500570</v>
      </c>
      <c r="BT25" s="76">
        <v>11142419</v>
      </c>
      <c r="BU25" s="76">
        <v>126358151</v>
      </c>
      <c r="BV25" s="76">
        <v>270</v>
      </c>
      <c r="BW25" s="14">
        <v>38999</v>
      </c>
      <c r="BX25" s="27">
        <v>14</v>
      </c>
      <c r="BY25" s="26">
        <v>101.95816993464052</v>
      </c>
      <c r="BZ25" s="24">
        <v>143947647</v>
      </c>
      <c r="CA25" s="76">
        <v>14561825</v>
      </c>
      <c r="CB25" s="76">
        <v>129385822</v>
      </c>
      <c r="CC25" s="76">
        <v>273</v>
      </c>
      <c r="CD25" s="14">
        <v>39495</v>
      </c>
      <c r="CE25" s="77">
        <v>14</v>
      </c>
      <c r="CF25" s="24">
        <v>143823304</v>
      </c>
      <c r="CG25" s="76">
        <v>12591260</v>
      </c>
      <c r="CH25" s="76">
        <v>131232044</v>
      </c>
      <c r="CI25" s="76">
        <v>264.21640000000002</v>
      </c>
      <c r="CJ25" s="14">
        <v>41390</v>
      </c>
      <c r="CK25" s="77">
        <v>15</v>
      </c>
      <c r="CL25" s="37">
        <v>104.79807570578555</v>
      </c>
      <c r="CM25" s="38">
        <v>103.82280640144484</v>
      </c>
      <c r="CO25" s="75">
        <v>160512391</v>
      </c>
      <c r="CP25" s="76">
        <v>12979286</v>
      </c>
      <c r="CQ25" s="76">
        <v>147533105</v>
      </c>
      <c r="CR25" s="76">
        <v>296</v>
      </c>
      <c r="CS25" s="76">
        <v>41535</v>
      </c>
      <c r="CT25" s="45">
        <v>13</v>
      </c>
      <c r="CU25" s="26">
        <v>106.50273083925228</v>
      </c>
      <c r="CV25" s="75">
        <v>163509628</v>
      </c>
      <c r="CW25" s="76">
        <v>13839639</v>
      </c>
      <c r="CX25" s="76">
        <v>149669989</v>
      </c>
      <c r="CY25" s="76">
        <v>296</v>
      </c>
      <c r="CZ25" s="76">
        <v>42137</v>
      </c>
      <c r="DA25" s="77">
        <v>15</v>
      </c>
      <c r="DB25" s="24">
        <v>164028494.69</v>
      </c>
      <c r="DC25" s="76">
        <v>14973875.689999999</v>
      </c>
      <c r="DD25" s="76">
        <v>149054619</v>
      </c>
      <c r="DE25" s="76">
        <v>271</v>
      </c>
      <c r="DF25" s="14">
        <v>45835</v>
      </c>
      <c r="DG25" s="77">
        <v>15</v>
      </c>
      <c r="DH25" s="37">
        <v>108.77613498825261</v>
      </c>
      <c r="DI25" s="38">
        <v>110.73930901183861</v>
      </c>
      <c r="DK25" s="24">
        <v>184427248</v>
      </c>
      <c r="DL25" s="76">
        <v>17044086</v>
      </c>
      <c r="DM25" s="76">
        <v>167383162</v>
      </c>
      <c r="DN25" s="76">
        <v>305</v>
      </c>
      <c r="DO25" s="14">
        <v>45733</v>
      </c>
      <c r="DP25" s="77">
        <v>12</v>
      </c>
      <c r="DQ25" s="26">
        <v>110.10713855784277</v>
      </c>
      <c r="DR25" s="24">
        <v>188137673</v>
      </c>
      <c r="DS25" s="76">
        <v>20363926</v>
      </c>
      <c r="DT25" s="76">
        <v>167773747</v>
      </c>
      <c r="DU25" s="76">
        <v>303</v>
      </c>
      <c r="DV25" s="14">
        <v>46142</v>
      </c>
      <c r="DW25" s="77">
        <v>13</v>
      </c>
      <c r="DX25" s="24">
        <v>182982062</v>
      </c>
      <c r="DY25" s="76">
        <v>17672883</v>
      </c>
      <c r="DZ25" s="76">
        <v>165309179</v>
      </c>
      <c r="EA25" s="76">
        <v>279.20999999999998</v>
      </c>
      <c r="EB25" s="14">
        <v>49338</v>
      </c>
      <c r="EC25" s="77">
        <v>15</v>
      </c>
      <c r="ED25" s="37">
        <v>106.92644445407655</v>
      </c>
      <c r="EE25" s="38">
        <v>107.64263117704812</v>
      </c>
      <c r="EG25" s="24">
        <v>202217749</v>
      </c>
      <c r="EH25" s="76">
        <v>26273087</v>
      </c>
      <c r="EI25" s="76">
        <v>175944662</v>
      </c>
      <c r="EJ25" s="76">
        <v>303</v>
      </c>
      <c r="EK25" s="14">
        <v>48390</v>
      </c>
      <c r="EL25" s="77">
        <v>12</v>
      </c>
      <c r="EM25" s="26">
        <v>105.80980910939584</v>
      </c>
      <c r="EN25" s="24">
        <v>205317749</v>
      </c>
      <c r="EO25" s="76">
        <v>28773087</v>
      </c>
      <c r="EP25" s="76">
        <v>176544662</v>
      </c>
      <c r="EQ25" s="76">
        <v>303</v>
      </c>
      <c r="ER25" s="14">
        <v>48555</v>
      </c>
      <c r="ES25" s="77">
        <v>13</v>
      </c>
      <c r="ET25" s="24">
        <v>200901804</v>
      </c>
      <c r="EU25" s="76">
        <v>25798846</v>
      </c>
      <c r="EV25" s="76">
        <v>175102958</v>
      </c>
      <c r="EW25" s="76">
        <v>286.77</v>
      </c>
      <c r="EX25" s="14">
        <v>50884</v>
      </c>
      <c r="EY25" s="27">
        <v>15</v>
      </c>
      <c r="EZ25" s="37">
        <v>104.79662238698384</v>
      </c>
      <c r="FA25" s="38">
        <v>103.13348737281609</v>
      </c>
      <c r="FC25" s="24">
        <v>198072370</v>
      </c>
      <c r="FD25" s="76">
        <v>19873656</v>
      </c>
      <c r="FE25" s="76">
        <v>178198714</v>
      </c>
      <c r="FF25" s="76">
        <v>293</v>
      </c>
      <c r="FG25" s="14">
        <v>50682</v>
      </c>
      <c r="FH25" s="77">
        <v>14</v>
      </c>
      <c r="FI25" s="26">
        <v>104.73651580905145</v>
      </c>
      <c r="FJ25" s="24">
        <v>201472370</v>
      </c>
      <c r="FK25" s="76">
        <v>25798176</v>
      </c>
      <c r="FL25" s="76">
        <v>175674194</v>
      </c>
      <c r="FM25" s="76">
        <v>293.58</v>
      </c>
      <c r="FN25" s="14">
        <v>49866</v>
      </c>
      <c r="FO25" s="77">
        <v>14</v>
      </c>
      <c r="FP25" s="24">
        <v>200566121</v>
      </c>
      <c r="FQ25" s="76">
        <v>26263283.999999996</v>
      </c>
      <c r="FR25" s="76">
        <v>174302837</v>
      </c>
      <c r="FS25" s="76">
        <v>282.18</v>
      </c>
      <c r="FT25" s="14">
        <v>51475</v>
      </c>
      <c r="FU25" s="77">
        <v>17</v>
      </c>
      <c r="FV25" s="37">
        <v>103.22664741507239</v>
      </c>
      <c r="FW25" s="38">
        <v>101.16146529360898</v>
      </c>
      <c r="FY25" s="75">
        <v>206355183</v>
      </c>
      <c r="FZ25" s="76">
        <v>17114419</v>
      </c>
      <c r="GA25" s="76">
        <v>189240764</v>
      </c>
      <c r="GB25" s="76">
        <v>306</v>
      </c>
      <c r="GC25" s="76">
        <v>51536</v>
      </c>
      <c r="GD25" s="77">
        <f t="shared" si="0"/>
        <v>17</v>
      </c>
      <c r="GE25" s="26"/>
      <c r="GF25" s="39">
        <v>211355183</v>
      </c>
      <c r="GG25" s="76">
        <v>17114419</v>
      </c>
      <c r="GH25" s="76">
        <v>194240764</v>
      </c>
      <c r="GI25" s="76">
        <v>298</v>
      </c>
      <c r="GJ25" s="14">
        <v>54318</v>
      </c>
      <c r="GK25" s="77">
        <f t="shared" si="1"/>
        <v>11</v>
      </c>
      <c r="GL25" s="39">
        <v>201231656</v>
      </c>
      <c r="GM25" s="76">
        <v>17498896</v>
      </c>
      <c r="GN25" s="295">
        <v>183732760</v>
      </c>
      <c r="GO25" s="76">
        <v>264.95</v>
      </c>
      <c r="GP25" s="14">
        <v>57789</v>
      </c>
      <c r="GQ25" s="77">
        <f t="shared" si="2"/>
        <v>12</v>
      </c>
      <c r="GR25" s="37">
        <v>108.77613498825261</v>
      </c>
      <c r="GS25" s="38">
        <v>110.73930901183861</v>
      </c>
      <c r="GU25" s="75">
        <v>216720321</v>
      </c>
      <c r="GV25" s="76">
        <v>17434819</v>
      </c>
      <c r="GW25" s="76">
        <v>199285502</v>
      </c>
      <c r="GX25" s="76">
        <v>298</v>
      </c>
      <c r="GY25" s="76">
        <v>55729</v>
      </c>
      <c r="GZ25" s="77">
        <f t="shared" si="3"/>
        <v>15</v>
      </c>
      <c r="HA25" s="26"/>
      <c r="HB25" s="39">
        <v>222434321</v>
      </c>
      <c r="HC25" s="76">
        <v>18148819</v>
      </c>
      <c r="HD25" s="76">
        <v>204285502</v>
      </c>
      <c r="HE25" s="76">
        <v>298</v>
      </c>
      <c r="HF25" s="14">
        <v>57127</v>
      </c>
      <c r="HG25" s="77">
        <f t="shared" si="4"/>
        <v>14</v>
      </c>
      <c r="HH25" s="39">
        <v>205779440</v>
      </c>
      <c r="HI25" s="76">
        <v>17450467</v>
      </c>
      <c r="HJ25" s="295">
        <v>188328973</v>
      </c>
      <c r="HK25" s="76">
        <v>267.37</v>
      </c>
      <c r="HL25" s="14">
        <v>58698</v>
      </c>
      <c r="HM25" s="77">
        <f t="shared" si="5"/>
        <v>16</v>
      </c>
      <c r="HN25" s="37"/>
      <c r="HO25" s="38"/>
    </row>
    <row r="26" spans="1:223" ht="18" customHeight="1">
      <c r="A26" s="65">
        <v>335</v>
      </c>
      <c r="B26" s="68" t="s">
        <v>37</v>
      </c>
      <c r="C26" s="33" t="s">
        <v>38</v>
      </c>
      <c r="D26" s="41"/>
      <c r="E26" s="75">
        <v>1001855000</v>
      </c>
      <c r="F26" s="76">
        <v>29479000</v>
      </c>
      <c r="G26" s="76">
        <v>972376000</v>
      </c>
      <c r="H26" s="76">
        <v>3156</v>
      </c>
      <c r="I26" s="76">
        <v>25675</v>
      </c>
      <c r="J26" s="77">
        <v>31</v>
      </c>
      <c r="K26" s="38">
        <v>100.05065856129687</v>
      </c>
      <c r="L26" s="75">
        <v>1004784931</v>
      </c>
      <c r="M26" s="76">
        <v>29883742</v>
      </c>
      <c r="N26" s="76">
        <v>974901189</v>
      </c>
      <c r="O26" s="76">
        <v>3138</v>
      </c>
      <c r="P26" s="76">
        <v>25890</v>
      </c>
      <c r="Q26" s="77">
        <v>32</v>
      </c>
      <c r="R26" s="75">
        <v>1135844266</v>
      </c>
      <c r="S26" s="76">
        <v>46029971</v>
      </c>
      <c r="T26" s="76">
        <v>1089814295</v>
      </c>
      <c r="U26" s="76">
        <v>2956</v>
      </c>
      <c r="V26" s="76">
        <v>30723</v>
      </c>
      <c r="W26" s="77">
        <v>26</v>
      </c>
      <c r="X26" s="37">
        <v>118.66743916570104</v>
      </c>
      <c r="Y26" s="38">
        <v>102.58096828046746</v>
      </c>
      <c r="AA26" s="75">
        <v>1019202212</v>
      </c>
      <c r="AB26" s="76">
        <v>29017497</v>
      </c>
      <c r="AC26" s="76">
        <v>990184715</v>
      </c>
      <c r="AD26" s="76">
        <v>3127</v>
      </c>
      <c r="AE26" s="76">
        <v>26388</v>
      </c>
      <c r="AF26" s="77">
        <v>34</v>
      </c>
      <c r="AG26" s="38">
        <v>102.77702044790654</v>
      </c>
      <c r="AH26" s="75">
        <v>1041737505</v>
      </c>
      <c r="AI26" s="76">
        <v>35787921</v>
      </c>
      <c r="AJ26" s="76">
        <v>1005949584</v>
      </c>
      <c r="AK26" s="76">
        <v>3134</v>
      </c>
      <c r="AL26" s="76">
        <v>26748</v>
      </c>
      <c r="AM26" s="77">
        <v>32</v>
      </c>
      <c r="AN26" s="75">
        <v>1175519221</v>
      </c>
      <c r="AO26" s="76">
        <v>39705988</v>
      </c>
      <c r="AP26" s="76">
        <v>1135813233</v>
      </c>
      <c r="AQ26" s="76">
        <v>3051</v>
      </c>
      <c r="AR26" s="76">
        <v>31023</v>
      </c>
      <c r="AS26" s="77">
        <v>25</v>
      </c>
      <c r="AT26" s="37">
        <v>115.98250336473754</v>
      </c>
      <c r="AU26" s="38">
        <v>100.97646714188066</v>
      </c>
      <c r="AW26" s="75">
        <v>1117997867</v>
      </c>
      <c r="AX26" s="76">
        <v>40509290</v>
      </c>
      <c r="AY26" s="76">
        <v>1077488577</v>
      </c>
      <c r="AZ26" s="76">
        <v>3128</v>
      </c>
      <c r="BA26" s="76">
        <v>28705</v>
      </c>
      <c r="BB26" s="27">
        <v>32</v>
      </c>
      <c r="BC26" s="38">
        <v>108.78050629073822</v>
      </c>
      <c r="BD26" s="24">
        <v>1138308256</v>
      </c>
      <c r="BE26" s="76">
        <v>39091350</v>
      </c>
      <c r="BF26" s="76">
        <v>1099216906</v>
      </c>
      <c r="BG26" s="76">
        <v>3153</v>
      </c>
      <c r="BH26" s="14">
        <v>29052</v>
      </c>
      <c r="BI26" s="27">
        <v>32</v>
      </c>
      <c r="BJ26" s="24">
        <v>1277613080</v>
      </c>
      <c r="BK26" s="76">
        <v>39539892</v>
      </c>
      <c r="BL26" s="76">
        <v>1238073188</v>
      </c>
      <c r="BM26" s="76">
        <v>3112</v>
      </c>
      <c r="BN26" s="14">
        <v>33153</v>
      </c>
      <c r="BO26" s="27">
        <v>24</v>
      </c>
      <c r="BP26" s="37">
        <v>114.11606774060306</v>
      </c>
      <c r="BQ26" s="38">
        <v>106.86587370660479</v>
      </c>
      <c r="BS26" s="24">
        <v>1211661885</v>
      </c>
      <c r="BT26" s="76">
        <v>39763414</v>
      </c>
      <c r="BU26" s="76">
        <v>1171898471</v>
      </c>
      <c r="BV26" s="76">
        <v>3198</v>
      </c>
      <c r="BW26" s="14">
        <v>30537</v>
      </c>
      <c r="BX26" s="27">
        <v>32</v>
      </c>
      <c r="BY26" s="26">
        <v>106.38216338616967</v>
      </c>
      <c r="BZ26" s="24">
        <v>1253366862</v>
      </c>
      <c r="CA26" s="76">
        <v>49578708</v>
      </c>
      <c r="CB26" s="76">
        <v>1203788154</v>
      </c>
      <c r="CC26" s="76">
        <v>3211</v>
      </c>
      <c r="CD26" s="14">
        <v>31241</v>
      </c>
      <c r="CE26" s="77">
        <v>32</v>
      </c>
      <c r="CF26" s="24">
        <v>1358227315.5999999</v>
      </c>
      <c r="CG26" s="76">
        <v>47642664.600000001</v>
      </c>
      <c r="CH26" s="76">
        <v>1310584651</v>
      </c>
      <c r="CI26" s="76">
        <v>3086</v>
      </c>
      <c r="CJ26" s="14">
        <v>35391</v>
      </c>
      <c r="CK26" s="77">
        <v>23</v>
      </c>
      <c r="CL26" s="37">
        <v>113.28382574181364</v>
      </c>
      <c r="CM26" s="38">
        <v>106.75052031490362</v>
      </c>
      <c r="CO26" s="75">
        <v>1394005097</v>
      </c>
      <c r="CP26" s="76">
        <v>90162615</v>
      </c>
      <c r="CQ26" s="76">
        <v>1303842482</v>
      </c>
      <c r="CR26" s="76">
        <v>3310.9</v>
      </c>
      <c r="CS26" s="76">
        <v>32817</v>
      </c>
      <c r="CT26" s="45">
        <v>32</v>
      </c>
      <c r="CU26" s="26">
        <v>107.4663522939385</v>
      </c>
      <c r="CV26" s="75">
        <v>1420851771</v>
      </c>
      <c r="CW26" s="76">
        <v>90855615</v>
      </c>
      <c r="CX26" s="76">
        <v>1329996156</v>
      </c>
      <c r="CY26" s="76">
        <v>3311</v>
      </c>
      <c r="CZ26" s="76">
        <v>33474</v>
      </c>
      <c r="DA26" s="77">
        <v>35</v>
      </c>
      <c r="DB26" s="24">
        <v>1489084015.99</v>
      </c>
      <c r="DC26" s="76">
        <v>57348079.989999995</v>
      </c>
      <c r="DD26" s="76">
        <v>1431735936</v>
      </c>
      <c r="DE26" s="76">
        <v>3130</v>
      </c>
      <c r="DF26" s="14">
        <v>38119</v>
      </c>
      <c r="DG26" s="77">
        <v>27</v>
      </c>
      <c r="DH26" s="37">
        <v>113.87644141721933</v>
      </c>
      <c r="DI26" s="38">
        <v>107.7081743946201</v>
      </c>
      <c r="DK26" s="24">
        <v>1558988020</v>
      </c>
      <c r="DL26" s="76">
        <v>96891016</v>
      </c>
      <c r="DM26" s="76">
        <v>1462097004</v>
      </c>
      <c r="DN26" s="76">
        <v>3341.66</v>
      </c>
      <c r="DO26" s="14">
        <v>36461</v>
      </c>
      <c r="DP26" s="77">
        <v>33</v>
      </c>
      <c r="DQ26" s="26">
        <v>111.10400097510436</v>
      </c>
      <c r="DR26" s="24">
        <v>1552179020</v>
      </c>
      <c r="DS26" s="76">
        <v>92250016</v>
      </c>
      <c r="DT26" s="76">
        <v>1459929004</v>
      </c>
      <c r="DU26" s="76">
        <v>3341.66</v>
      </c>
      <c r="DV26" s="14">
        <v>36407</v>
      </c>
      <c r="DW26" s="77">
        <v>34</v>
      </c>
      <c r="DX26" s="24">
        <v>1651936067</v>
      </c>
      <c r="DY26" s="76">
        <v>79945138</v>
      </c>
      <c r="DZ26" s="76">
        <v>1571990929</v>
      </c>
      <c r="EA26" s="76">
        <v>3202.7199999999993</v>
      </c>
      <c r="EB26" s="14">
        <v>40902</v>
      </c>
      <c r="EC26" s="77">
        <v>31</v>
      </c>
      <c r="ED26" s="37">
        <v>112.34652676683055</v>
      </c>
      <c r="EE26" s="38">
        <v>107.30082111283087</v>
      </c>
      <c r="EG26" s="24">
        <v>1534932797</v>
      </c>
      <c r="EH26" s="76">
        <v>96625231</v>
      </c>
      <c r="EI26" s="76">
        <v>1438307566</v>
      </c>
      <c r="EJ26" s="76">
        <v>3258.2099999999996</v>
      </c>
      <c r="EK26" s="14">
        <v>36787</v>
      </c>
      <c r="EL26" s="77">
        <v>38</v>
      </c>
      <c r="EM26" s="26">
        <v>100.89410603110171</v>
      </c>
      <c r="EN26" s="24">
        <v>1543367777</v>
      </c>
      <c r="EO26" s="76">
        <v>97347031</v>
      </c>
      <c r="EP26" s="76">
        <v>1446020746</v>
      </c>
      <c r="EQ26" s="76">
        <v>3258.6</v>
      </c>
      <c r="ER26" s="14">
        <v>36980</v>
      </c>
      <c r="ES26" s="77">
        <v>38</v>
      </c>
      <c r="ET26" s="24">
        <v>1781165745</v>
      </c>
      <c r="EU26" s="76">
        <v>99143182</v>
      </c>
      <c r="EV26" s="76">
        <v>1682022563</v>
      </c>
      <c r="EW26" s="76">
        <v>3261.92</v>
      </c>
      <c r="EX26" s="14">
        <v>42971</v>
      </c>
      <c r="EY26" s="27">
        <v>29</v>
      </c>
      <c r="EZ26" s="37">
        <v>116.20064899945916</v>
      </c>
      <c r="FA26" s="38">
        <v>105.0584323504963</v>
      </c>
      <c r="FC26" s="24">
        <v>1603144421</v>
      </c>
      <c r="FD26" s="76">
        <v>75619192</v>
      </c>
      <c r="FE26" s="76">
        <v>1527525229</v>
      </c>
      <c r="FF26" s="76">
        <v>3242.39</v>
      </c>
      <c r="FG26" s="14">
        <v>39259</v>
      </c>
      <c r="FH26" s="77">
        <v>37</v>
      </c>
      <c r="FI26" s="26">
        <v>106.71976513442249</v>
      </c>
      <c r="FJ26" s="24">
        <v>1782200860</v>
      </c>
      <c r="FK26" s="76">
        <v>83321192</v>
      </c>
      <c r="FL26" s="76">
        <v>1698879668</v>
      </c>
      <c r="FM26" s="76">
        <v>3336.6499999999996</v>
      </c>
      <c r="FN26" s="14">
        <v>42430</v>
      </c>
      <c r="FO26" s="77">
        <v>30</v>
      </c>
      <c r="FP26" s="24">
        <v>2034631121.5699999</v>
      </c>
      <c r="FQ26" s="76">
        <v>127803143.53999999</v>
      </c>
      <c r="FR26" s="76">
        <v>1906827978.03</v>
      </c>
      <c r="FS26" s="76">
        <v>3309.08</v>
      </c>
      <c r="FT26" s="14">
        <v>48020</v>
      </c>
      <c r="FU26" s="77">
        <v>25</v>
      </c>
      <c r="FV26" s="37">
        <v>113.17464058449211</v>
      </c>
      <c r="FW26" s="38">
        <v>111.74978473854461</v>
      </c>
      <c r="FY26" s="75">
        <v>1679473799</v>
      </c>
      <c r="FZ26" s="76">
        <v>77381436</v>
      </c>
      <c r="GA26" s="76">
        <v>1602092363</v>
      </c>
      <c r="GB26" s="76">
        <v>3227.4199999999996</v>
      </c>
      <c r="GC26" s="76">
        <v>41367</v>
      </c>
      <c r="GD26" s="77">
        <f t="shared" si="0"/>
        <v>39</v>
      </c>
      <c r="GE26" s="26"/>
      <c r="GF26" s="39">
        <v>1676551555</v>
      </c>
      <c r="GG26" s="76">
        <v>77395436</v>
      </c>
      <c r="GH26" s="76">
        <v>1599156119</v>
      </c>
      <c r="GI26" s="76">
        <v>3213</v>
      </c>
      <c r="GJ26" s="14">
        <v>41476</v>
      </c>
      <c r="GK26" s="77">
        <f t="shared" si="1"/>
        <v>40</v>
      </c>
      <c r="GL26" s="39">
        <v>1950867043.55</v>
      </c>
      <c r="GM26" s="76">
        <v>80301496</v>
      </c>
      <c r="GN26" s="295">
        <v>1870565547.55</v>
      </c>
      <c r="GO26" s="76">
        <v>3215.8</v>
      </c>
      <c r="GP26" s="14">
        <v>48473</v>
      </c>
      <c r="GQ26" s="77">
        <f t="shared" si="2"/>
        <v>33</v>
      </c>
      <c r="GR26" s="37">
        <v>113.87644141721933</v>
      </c>
      <c r="GS26" s="38">
        <v>107.7081743946201</v>
      </c>
      <c r="GU26" s="75">
        <v>1801586271</v>
      </c>
      <c r="GV26" s="76">
        <v>87781002</v>
      </c>
      <c r="GW26" s="76">
        <v>1713805269</v>
      </c>
      <c r="GX26" s="76">
        <v>3218.1499999999996</v>
      </c>
      <c r="GY26" s="76">
        <v>44379</v>
      </c>
      <c r="GZ26" s="77">
        <f t="shared" si="3"/>
        <v>39</v>
      </c>
      <c r="HA26" s="26"/>
      <c r="HB26" s="39">
        <v>1774458063</v>
      </c>
      <c r="HC26" s="76">
        <v>88215002</v>
      </c>
      <c r="HD26" s="76">
        <v>1686243061</v>
      </c>
      <c r="HE26" s="76">
        <v>3217.43</v>
      </c>
      <c r="HF26" s="14">
        <v>43675</v>
      </c>
      <c r="HG26" s="77">
        <f t="shared" si="4"/>
        <v>39</v>
      </c>
      <c r="HH26" s="39">
        <v>2074869889.3799999</v>
      </c>
      <c r="HI26" s="76">
        <v>93023588</v>
      </c>
      <c r="HJ26" s="295">
        <v>1981846301.3799999</v>
      </c>
      <c r="HK26" s="76">
        <v>3228.06</v>
      </c>
      <c r="HL26" s="14">
        <v>51162</v>
      </c>
      <c r="HM26" s="77">
        <f t="shared" si="5"/>
        <v>35</v>
      </c>
      <c r="HN26" s="37"/>
      <c r="HO26" s="38"/>
    </row>
    <row r="27" spans="1:223" ht="18" customHeight="1">
      <c r="A27" s="65">
        <v>336</v>
      </c>
      <c r="B27" s="68" t="s">
        <v>39</v>
      </c>
      <c r="C27" s="33" t="s">
        <v>40</v>
      </c>
      <c r="D27" s="41"/>
      <c r="E27" s="75">
        <v>10297283000</v>
      </c>
      <c r="F27" s="76">
        <v>3199350000</v>
      </c>
      <c r="G27" s="76">
        <v>7097933000</v>
      </c>
      <c r="H27" s="76">
        <v>24932</v>
      </c>
      <c r="I27" s="76">
        <v>23724</v>
      </c>
      <c r="J27" s="77">
        <v>35</v>
      </c>
      <c r="K27" s="38">
        <v>100.52542372881356</v>
      </c>
      <c r="L27" s="75">
        <v>10741806438</v>
      </c>
      <c r="M27" s="76">
        <v>3523345053</v>
      </c>
      <c r="N27" s="76">
        <v>7218461385</v>
      </c>
      <c r="O27" s="76">
        <v>24932</v>
      </c>
      <c r="P27" s="76">
        <v>24127</v>
      </c>
      <c r="Q27" s="77">
        <v>35</v>
      </c>
      <c r="R27" s="75">
        <v>10983664328</v>
      </c>
      <c r="S27" s="76">
        <v>3471473696</v>
      </c>
      <c r="T27" s="76">
        <v>7512190632</v>
      </c>
      <c r="U27" s="76">
        <v>23045</v>
      </c>
      <c r="V27" s="76">
        <v>27165</v>
      </c>
      <c r="W27" s="77">
        <v>34</v>
      </c>
      <c r="X27" s="37">
        <v>112.59170224230115</v>
      </c>
      <c r="Y27" s="38">
        <v>105.00173939932745</v>
      </c>
      <c r="AA27" s="75">
        <v>10970589356</v>
      </c>
      <c r="AB27" s="76">
        <v>3612363389</v>
      </c>
      <c r="AC27" s="76">
        <v>7358225967</v>
      </c>
      <c r="AD27" s="76">
        <v>24872</v>
      </c>
      <c r="AE27" s="76">
        <v>24654</v>
      </c>
      <c r="AF27" s="77">
        <v>35</v>
      </c>
      <c r="AG27" s="38">
        <v>103.92008093070308</v>
      </c>
      <c r="AH27" s="75">
        <v>11025450161</v>
      </c>
      <c r="AI27" s="76">
        <v>3615933721</v>
      </c>
      <c r="AJ27" s="76">
        <v>7409516440</v>
      </c>
      <c r="AK27" s="76">
        <v>24872</v>
      </c>
      <c r="AL27" s="76">
        <v>24825</v>
      </c>
      <c r="AM27" s="77">
        <v>35</v>
      </c>
      <c r="AN27" s="75">
        <v>11443392550</v>
      </c>
      <c r="AO27" s="76">
        <v>3593123466</v>
      </c>
      <c r="AP27" s="76">
        <v>7850269084</v>
      </c>
      <c r="AQ27" s="76">
        <v>23013</v>
      </c>
      <c r="AR27" s="76">
        <v>28427</v>
      </c>
      <c r="AS27" s="77">
        <v>34</v>
      </c>
      <c r="AT27" s="37">
        <v>114.50956696878147</v>
      </c>
      <c r="AU27" s="38">
        <v>104.64568378428125</v>
      </c>
      <c r="AW27" s="75">
        <v>11744918511</v>
      </c>
      <c r="AX27" s="76">
        <v>3966346779</v>
      </c>
      <c r="AY27" s="76">
        <v>7778571732</v>
      </c>
      <c r="AZ27" s="76">
        <v>24627</v>
      </c>
      <c r="BA27" s="76">
        <v>26321</v>
      </c>
      <c r="BB27" s="27">
        <v>35</v>
      </c>
      <c r="BC27" s="38">
        <v>106.76158027094995</v>
      </c>
      <c r="BD27" s="24">
        <v>12960100848</v>
      </c>
      <c r="BE27" s="76">
        <v>4828820059</v>
      </c>
      <c r="BF27" s="76">
        <v>8131280789</v>
      </c>
      <c r="BG27" s="76">
        <v>24627</v>
      </c>
      <c r="BH27" s="14">
        <v>27515</v>
      </c>
      <c r="BI27" s="27">
        <v>35</v>
      </c>
      <c r="BJ27" s="24">
        <v>13440578012.869999</v>
      </c>
      <c r="BK27" s="76">
        <v>4802569615.5900002</v>
      </c>
      <c r="BL27" s="76">
        <v>8638008397.2799988</v>
      </c>
      <c r="BM27" s="76">
        <v>23280</v>
      </c>
      <c r="BN27" s="14">
        <v>30921</v>
      </c>
      <c r="BO27" s="27">
        <v>33</v>
      </c>
      <c r="BP27" s="37">
        <v>112.37870252589497</v>
      </c>
      <c r="BQ27" s="38">
        <v>108.7733492806135</v>
      </c>
      <c r="BS27" s="24">
        <v>12925596430</v>
      </c>
      <c r="BT27" s="76">
        <v>4322178581</v>
      </c>
      <c r="BU27" s="76">
        <v>8603417849</v>
      </c>
      <c r="BV27" s="76">
        <v>25042</v>
      </c>
      <c r="BW27" s="14">
        <v>28630</v>
      </c>
      <c r="BX27" s="27">
        <v>35</v>
      </c>
      <c r="BY27" s="26">
        <v>108.77246305231564</v>
      </c>
      <c r="BZ27" s="24">
        <v>12999466085</v>
      </c>
      <c r="CA27" s="76">
        <v>4329021805</v>
      </c>
      <c r="CB27" s="76">
        <v>8670444280</v>
      </c>
      <c r="CC27" s="76">
        <v>25042</v>
      </c>
      <c r="CD27" s="14">
        <v>28853</v>
      </c>
      <c r="CE27" s="77">
        <v>35</v>
      </c>
      <c r="CF27" s="24">
        <v>13163523934.18</v>
      </c>
      <c r="CG27" s="76">
        <v>4302742358.8199997</v>
      </c>
      <c r="CH27" s="76">
        <v>8860781575.3600006</v>
      </c>
      <c r="CI27" s="76">
        <v>23732</v>
      </c>
      <c r="CJ27" s="14">
        <v>31114</v>
      </c>
      <c r="CK27" s="77">
        <v>35</v>
      </c>
      <c r="CL27" s="37">
        <v>107.83627352441687</v>
      </c>
      <c r="CM27" s="38">
        <v>100.62417127518515</v>
      </c>
      <c r="CO27" s="75">
        <v>13946543969</v>
      </c>
      <c r="CP27" s="76">
        <v>4476532596</v>
      </c>
      <c r="CQ27" s="76">
        <v>9470011373</v>
      </c>
      <c r="CR27" s="76">
        <v>25492.05</v>
      </c>
      <c r="CS27" s="76">
        <v>30957</v>
      </c>
      <c r="CT27" s="45">
        <v>35</v>
      </c>
      <c r="CU27" s="26">
        <v>108.1278379322389</v>
      </c>
      <c r="CV27" s="75">
        <v>14185037680</v>
      </c>
      <c r="CW27" s="76">
        <v>4477979596</v>
      </c>
      <c r="CX27" s="76">
        <v>9707058084</v>
      </c>
      <c r="CY27" s="76">
        <v>25493.38</v>
      </c>
      <c r="CZ27" s="76">
        <v>31731</v>
      </c>
      <c r="DA27" s="77">
        <v>38</v>
      </c>
      <c r="DB27" s="24">
        <v>14161022554.57</v>
      </c>
      <c r="DC27" s="76">
        <v>4478485153.9099998</v>
      </c>
      <c r="DD27" s="76">
        <v>9682537400.6599998</v>
      </c>
      <c r="DE27" s="76">
        <v>24015.67</v>
      </c>
      <c r="DF27" s="14">
        <v>33598</v>
      </c>
      <c r="DG27" s="77">
        <v>38</v>
      </c>
      <c r="DH27" s="37">
        <v>105.88383599634427</v>
      </c>
      <c r="DI27" s="38">
        <v>107.98354438516424</v>
      </c>
      <c r="DK27" s="24">
        <v>15529667580</v>
      </c>
      <c r="DL27" s="76">
        <v>4712713857</v>
      </c>
      <c r="DM27" s="76">
        <v>10816953723</v>
      </c>
      <c r="DN27" s="76">
        <v>26090.6</v>
      </c>
      <c r="DO27" s="14">
        <v>34549</v>
      </c>
      <c r="DP27" s="77">
        <v>36</v>
      </c>
      <c r="DQ27" s="26">
        <v>111.60319152372647</v>
      </c>
      <c r="DR27" s="24">
        <v>15535167030</v>
      </c>
      <c r="DS27" s="76">
        <v>4714232657</v>
      </c>
      <c r="DT27" s="76">
        <v>10820934373</v>
      </c>
      <c r="DU27" s="76">
        <v>26093.600000000002</v>
      </c>
      <c r="DV27" s="14">
        <v>34558</v>
      </c>
      <c r="DW27" s="77">
        <v>38</v>
      </c>
      <c r="DX27" s="24">
        <v>15302422207.709999</v>
      </c>
      <c r="DY27" s="76">
        <v>4686909295.6599998</v>
      </c>
      <c r="DZ27" s="76">
        <v>10615512912.049999</v>
      </c>
      <c r="EA27" s="76">
        <v>24287.159999999996</v>
      </c>
      <c r="EB27" s="14">
        <v>36424</v>
      </c>
      <c r="EC27" s="77">
        <v>38</v>
      </c>
      <c r="ED27" s="37">
        <v>105.39961803345102</v>
      </c>
      <c r="EE27" s="38">
        <v>108.41121495327101</v>
      </c>
      <c r="EG27" s="24">
        <v>16805301180</v>
      </c>
      <c r="EH27" s="76">
        <v>5125450727</v>
      </c>
      <c r="EI27" s="76">
        <v>11679850453</v>
      </c>
      <c r="EJ27" s="76">
        <v>25807.25</v>
      </c>
      <c r="EK27" s="14">
        <v>37715</v>
      </c>
      <c r="EL27" s="77">
        <v>36</v>
      </c>
      <c r="EM27" s="26">
        <v>109.163796347217</v>
      </c>
      <c r="EN27" s="24">
        <v>16731026460</v>
      </c>
      <c r="EO27" s="76">
        <v>5105540727</v>
      </c>
      <c r="EP27" s="76">
        <v>11625485733</v>
      </c>
      <c r="EQ27" s="76">
        <v>25814.25</v>
      </c>
      <c r="ER27" s="14">
        <v>37529</v>
      </c>
      <c r="ES27" s="77">
        <v>37</v>
      </c>
      <c r="ET27" s="24">
        <v>16790883060.84</v>
      </c>
      <c r="EU27" s="76">
        <v>5107987514.3400002</v>
      </c>
      <c r="EV27" s="76">
        <v>11682895546.5</v>
      </c>
      <c r="EW27" s="76">
        <v>24518.63</v>
      </c>
      <c r="EX27" s="14">
        <v>39708</v>
      </c>
      <c r="EY27" s="27">
        <v>38</v>
      </c>
      <c r="EZ27" s="37">
        <v>105.80617655679607</v>
      </c>
      <c r="FA27" s="38">
        <v>109.01603338458159</v>
      </c>
      <c r="FC27" s="24">
        <v>17963687827</v>
      </c>
      <c r="FD27" s="76">
        <v>5653049062</v>
      </c>
      <c r="FE27" s="76">
        <v>12310638765</v>
      </c>
      <c r="FF27" s="76">
        <v>25409.809999999998</v>
      </c>
      <c r="FG27" s="14">
        <v>40374</v>
      </c>
      <c r="FH27" s="77">
        <v>33</v>
      </c>
      <c r="FI27" s="26">
        <v>107.05024526050644</v>
      </c>
      <c r="FJ27" s="24">
        <v>17953033394</v>
      </c>
      <c r="FK27" s="76">
        <v>5652100966</v>
      </c>
      <c r="FL27" s="76">
        <v>12300932428</v>
      </c>
      <c r="FM27" s="76">
        <v>25438.799999999999</v>
      </c>
      <c r="FN27" s="14">
        <v>40296</v>
      </c>
      <c r="FO27" s="77">
        <v>36</v>
      </c>
      <c r="FP27" s="24">
        <v>17818029530.43</v>
      </c>
      <c r="FQ27" s="76">
        <v>5634510342.4300003</v>
      </c>
      <c r="FR27" s="76">
        <v>12183519188</v>
      </c>
      <c r="FS27" s="76">
        <v>24329.199999999997</v>
      </c>
      <c r="FT27" s="14">
        <v>41731</v>
      </c>
      <c r="FU27" s="77">
        <v>38</v>
      </c>
      <c r="FV27" s="37">
        <v>103.56114750843757</v>
      </c>
      <c r="FW27" s="38">
        <v>105.09469124609649</v>
      </c>
      <c r="FY27" s="75">
        <v>19837586007</v>
      </c>
      <c r="FZ27" s="76">
        <v>6342125195</v>
      </c>
      <c r="GA27" s="76">
        <v>13495460812</v>
      </c>
      <c r="GB27" s="76">
        <v>25353.160000000003</v>
      </c>
      <c r="GC27" s="76">
        <v>44358</v>
      </c>
      <c r="GD27" s="77">
        <f t="shared" si="0"/>
        <v>33</v>
      </c>
      <c r="GE27" s="26"/>
      <c r="GF27" s="39">
        <v>20592701850</v>
      </c>
      <c r="GG27" s="76">
        <v>6665807385</v>
      </c>
      <c r="GH27" s="76">
        <v>13926894465</v>
      </c>
      <c r="GI27" s="76">
        <v>24927.820000000003</v>
      </c>
      <c r="GJ27" s="14">
        <v>46557</v>
      </c>
      <c r="GK27" s="77">
        <f t="shared" si="1"/>
        <v>31</v>
      </c>
      <c r="GL27" s="39">
        <v>20531838140.470001</v>
      </c>
      <c r="GM27" s="76">
        <v>6719614286.9099998</v>
      </c>
      <c r="GN27" s="295">
        <v>13812223853.559999</v>
      </c>
      <c r="GO27" s="76">
        <v>23478.32</v>
      </c>
      <c r="GP27" s="14">
        <v>49025</v>
      </c>
      <c r="GQ27" s="77">
        <f t="shared" si="2"/>
        <v>30</v>
      </c>
      <c r="GR27" s="37">
        <v>105.88383599634427</v>
      </c>
      <c r="GS27" s="38">
        <v>107.98354438516424</v>
      </c>
      <c r="GU27" s="75">
        <v>21925044039</v>
      </c>
      <c r="GV27" s="76">
        <v>6807222400</v>
      </c>
      <c r="GW27" s="76">
        <v>15117821639</v>
      </c>
      <c r="GX27" s="76">
        <v>24899.85</v>
      </c>
      <c r="GY27" s="76">
        <v>50595</v>
      </c>
      <c r="GZ27" s="77">
        <f t="shared" si="3"/>
        <v>29</v>
      </c>
      <c r="HA27" s="26"/>
      <c r="HB27" s="39">
        <v>22178416815</v>
      </c>
      <c r="HC27" s="76">
        <v>7191840827</v>
      </c>
      <c r="HD27" s="76">
        <v>14986575988</v>
      </c>
      <c r="HE27" s="76">
        <v>24666.010000000002</v>
      </c>
      <c r="HF27" s="14">
        <v>50632</v>
      </c>
      <c r="HG27" s="77">
        <f t="shared" si="4"/>
        <v>29</v>
      </c>
      <c r="HH27" s="39">
        <v>22123676768.810001</v>
      </c>
      <c r="HI27" s="76">
        <v>7213598335.8000011</v>
      </c>
      <c r="HJ27" s="295">
        <v>14910078433.01</v>
      </c>
      <c r="HK27" s="76">
        <v>23132.83</v>
      </c>
      <c r="HL27" s="14">
        <v>53712</v>
      </c>
      <c r="HM27" s="77">
        <f t="shared" si="5"/>
        <v>29</v>
      </c>
      <c r="HN27" s="37"/>
      <c r="HO27" s="38"/>
    </row>
    <row r="28" spans="1:223" ht="18" customHeight="1">
      <c r="A28" s="65">
        <v>343</v>
      </c>
      <c r="B28" s="68" t="s">
        <v>83</v>
      </c>
      <c r="C28" s="33" t="s">
        <v>92</v>
      </c>
      <c r="D28" s="41"/>
      <c r="E28" s="75">
        <v>44464000</v>
      </c>
      <c r="F28" s="76">
        <v>2055000</v>
      </c>
      <c r="G28" s="76">
        <v>42409000</v>
      </c>
      <c r="H28" s="76">
        <v>102</v>
      </c>
      <c r="I28" s="76">
        <v>34648</v>
      </c>
      <c r="J28" s="77">
        <v>11</v>
      </c>
      <c r="K28" s="38">
        <v>100</v>
      </c>
      <c r="L28" s="75">
        <v>44464000</v>
      </c>
      <c r="M28" s="76">
        <v>2055000</v>
      </c>
      <c r="N28" s="76">
        <v>42409000</v>
      </c>
      <c r="O28" s="76">
        <v>102</v>
      </c>
      <c r="P28" s="76">
        <v>34648</v>
      </c>
      <c r="Q28" s="77">
        <v>12</v>
      </c>
      <c r="R28" s="75">
        <v>43787900</v>
      </c>
      <c r="S28" s="76">
        <v>1406400</v>
      </c>
      <c r="T28" s="76">
        <v>42381500</v>
      </c>
      <c r="U28" s="76">
        <v>99</v>
      </c>
      <c r="V28" s="76">
        <v>35675</v>
      </c>
      <c r="W28" s="77">
        <v>17</v>
      </c>
      <c r="X28" s="37">
        <v>102.96409605172016</v>
      </c>
      <c r="Y28" s="38">
        <v>98.713337022689544</v>
      </c>
      <c r="AA28" s="75">
        <v>45169580</v>
      </c>
      <c r="AB28" s="76">
        <v>2075700</v>
      </c>
      <c r="AC28" s="76">
        <v>43093880</v>
      </c>
      <c r="AD28" s="76">
        <v>102</v>
      </c>
      <c r="AE28" s="76">
        <v>35207</v>
      </c>
      <c r="AF28" s="77">
        <v>13</v>
      </c>
      <c r="AG28" s="38">
        <v>101.61336873701224</v>
      </c>
      <c r="AH28" s="75">
        <v>45373332</v>
      </c>
      <c r="AI28" s="76">
        <v>2075700</v>
      </c>
      <c r="AJ28" s="76">
        <v>43297632</v>
      </c>
      <c r="AK28" s="76">
        <v>102</v>
      </c>
      <c r="AL28" s="76">
        <v>35374</v>
      </c>
      <c r="AM28" s="77">
        <v>13</v>
      </c>
      <c r="AN28" s="75">
        <v>44743479</v>
      </c>
      <c r="AO28" s="76">
        <v>1530747</v>
      </c>
      <c r="AP28" s="76">
        <v>43212732</v>
      </c>
      <c r="AQ28" s="76">
        <v>98</v>
      </c>
      <c r="AR28" s="76">
        <v>36746</v>
      </c>
      <c r="AS28" s="77">
        <v>17</v>
      </c>
      <c r="AT28" s="37">
        <v>103.87855487080905</v>
      </c>
      <c r="AU28" s="38">
        <v>103.00210231254381</v>
      </c>
      <c r="AW28" s="75">
        <v>47121037</v>
      </c>
      <c r="AX28" s="76">
        <v>2180575</v>
      </c>
      <c r="AY28" s="76">
        <v>44940462</v>
      </c>
      <c r="AZ28" s="76">
        <v>102</v>
      </c>
      <c r="BA28" s="76">
        <v>36716</v>
      </c>
      <c r="BB28" s="27">
        <v>16</v>
      </c>
      <c r="BC28" s="38">
        <v>104.2860794728321</v>
      </c>
      <c r="BD28" s="24">
        <v>48731005</v>
      </c>
      <c r="BE28" s="76">
        <v>2016075</v>
      </c>
      <c r="BF28" s="76">
        <v>46714930</v>
      </c>
      <c r="BG28" s="76">
        <v>102</v>
      </c>
      <c r="BH28" s="14">
        <v>38166</v>
      </c>
      <c r="BI28" s="27">
        <v>12</v>
      </c>
      <c r="BJ28" s="24">
        <v>48535114</v>
      </c>
      <c r="BK28" s="76">
        <v>1886654</v>
      </c>
      <c r="BL28" s="76">
        <v>46648460</v>
      </c>
      <c r="BM28" s="76">
        <v>100</v>
      </c>
      <c r="BN28" s="14">
        <v>38874</v>
      </c>
      <c r="BO28" s="27">
        <v>16</v>
      </c>
      <c r="BP28" s="37">
        <v>101.85505423675522</v>
      </c>
      <c r="BQ28" s="38">
        <v>105.79110651499484</v>
      </c>
      <c r="BS28" s="24">
        <v>51006080</v>
      </c>
      <c r="BT28" s="76">
        <v>2245992</v>
      </c>
      <c r="BU28" s="76">
        <v>48760088</v>
      </c>
      <c r="BV28" s="76">
        <v>104</v>
      </c>
      <c r="BW28" s="14">
        <v>39071</v>
      </c>
      <c r="BX28" s="27">
        <v>13</v>
      </c>
      <c r="BY28" s="26">
        <v>106.41409739623053</v>
      </c>
      <c r="BZ28" s="24">
        <v>51332534</v>
      </c>
      <c r="CA28" s="76">
        <v>1745992</v>
      </c>
      <c r="CB28" s="76">
        <v>49586542</v>
      </c>
      <c r="CC28" s="76">
        <v>104</v>
      </c>
      <c r="CD28" s="14">
        <v>39733</v>
      </c>
      <c r="CE28" s="77">
        <v>13</v>
      </c>
      <c r="CF28" s="24">
        <v>50743614</v>
      </c>
      <c r="CG28" s="76">
        <v>1211342</v>
      </c>
      <c r="CH28" s="76">
        <v>49532272</v>
      </c>
      <c r="CI28" s="76">
        <v>100</v>
      </c>
      <c r="CJ28" s="14">
        <v>41277</v>
      </c>
      <c r="CK28" s="77">
        <v>16</v>
      </c>
      <c r="CL28" s="37">
        <v>103.88593864042484</v>
      </c>
      <c r="CM28" s="38">
        <v>106.18150949220559</v>
      </c>
      <c r="CO28" s="75">
        <v>56499885</v>
      </c>
      <c r="CP28" s="76">
        <v>1495992</v>
      </c>
      <c r="CQ28" s="76">
        <v>55003893</v>
      </c>
      <c r="CR28" s="76">
        <v>109</v>
      </c>
      <c r="CS28" s="76">
        <v>42052</v>
      </c>
      <c r="CT28" s="45">
        <v>11</v>
      </c>
      <c r="CU28" s="26">
        <v>107.62969977732845</v>
      </c>
      <c r="CV28" s="75">
        <v>57465847</v>
      </c>
      <c r="CW28" s="76">
        <v>1792182</v>
      </c>
      <c r="CX28" s="76">
        <v>55673665</v>
      </c>
      <c r="CY28" s="76">
        <v>109</v>
      </c>
      <c r="CZ28" s="76">
        <v>42564</v>
      </c>
      <c r="DA28" s="77">
        <v>12</v>
      </c>
      <c r="DB28" s="24">
        <v>56666974</v>
      </c>
      <c r="DC28" s="76">
        <v>1484925</v>
      </c>
      <c r="DD28" s="76">
        <v>55182049</v>
      </c>
      <c r="DE28" s="76">
        <v>99</v>
      </c>
      <c r="DF28" s="14">
        <v>46450</v>
      </c>
      <c r="DG28" s="77">
        <v>13</v>
      </c>
      <c r="DH28" s="37">
        <v>109.12978103561694</v>
      </c>
      <c r="DI28" s="38">
        <v>112.53240303316616</v>
      </c>
      <c r="DK28" s="24">
        <v>64835721</v>
      </c>
      <c r="DL28" s="76">
        <v>1890912</v>
      </c>
      <c r="DM28" s="76">
        <v>62944809</v>
      </c>
      <c r="DN28" s="76">
        <v>109</v>
      </c>
      <c r="DO28" s="14">
        <v>48123</v>
      </c>
      <c r="DP28" s="77">
        <v>6</v>
      </c>
      <c r="DQ28" s="26">
        <v>114.43688766289355</v>
      </c>
      <c r="DR28" s="24">
        <v>64835721</v>
      </c>
      <c r="DS28" s="76">
        <v>1890912</v>
      </c>
      <c r="DT28" s="76">
        <v>62944809</v>
      </c>
      <c r="DU28" s="76">
        <v>109</v>
      </c>
      <c r="DV28" s="14">
        <v>48123</v>
      </c>
      <c r="DW28" s="77">
        <v>5</v>
      </c>
      <c r="DX28" s="24">
        <v>65650918</v>
      </c>
      <c r="DY28" s="76">
        <v>2005480</v>
      </c>
      <c r="DZ28" s="76">
        <v>63645438</v>
      </c>
      <c r="EA28" s="76">
        <v>101</v>
      </c>
      <c r="EB28" s="14">
        <v>52513</v>
      </c>
      <c r="EC28" s="77">
        <v>5</v>
      </c>
      <c r="ED28" s="37">
        <v>109.12245703717558</v>
      </c>
      <c r="EE28" s="38">
        <v>113.05274488697523</v>
      </c>
      <c r="EG28" s="24">
        <v>67422694</v>
      </c>
      <c r="EH28" s="76">
        <v>1890912</v>
      </c>
      <c r="EI28" s="76">
        <v>65531782</v>
      </c>
      <c r="EJ28" s="76">
        <v>109</v>
      </c>
      <c r="EK28" s="14">
        <v>50101</v>
      </c>
      <c r="EL28" s="77">
        <v>9</v>
      </c>
      <c r="EM28" s="26">
        <v>104.1103006878208</v>
      </c>
      <c r="EN28" s="24">
        <v>70227545</v>
      </c>
      <c r="EO28" s="76">
        <v>1890912</v>
      </c>
      <c r="EP28" s="76">
        <v>68336633</v>
      </c>
      <c r="EQ28" s="76">
        <v>110.75</v>
      </c>
      <c r="ER28" s="14">
        <v>51420</v>
      </c>
      <c r="ES28" s="77">
        <v>5</v>
      </c>
      <c r="ET28" s="24">
        <v>67726637</v>
      </c>
      <c r="EU28" s="76">
        <v>1512246</v>
      </c>
      <c r="EV28" s="76">
        <v>66214391</v>
      </c>
      <c r="EW28" s="76">
        <v>102</v>
      </c>
      <c r="EX28" s="14">
        <v>54097</v>
      </c>
      <c r="EY28" s="27">
        <v>8</v>
      </c>
      <c r="EZ28" s="37">
        <v>105.20614546868923</v>
      </c>
      <c r="FA28" s="38">
        <v>103.01639594005294</v>
      </c>
      <c r="FC28" s="24">
        <v>74288084</v>
      </c>
      <c r="FD28" s="76">
        <v>1890912</v>
      </c>
      <c r="FE28" s="76">
        <v>72397172</v>
      </c>
      <c r="FF28" s="76">
        <v>112</v>
      </c>
      <c r="FG28" s="14">
        <v>53867</v>
      </c>
      <c r="FH28" s="77">
        <v>7</v>
      </c>
      <c r="FI28" s="26">
        <v>107.51681603161613</v>
      </c>
      <c r="FJ28" s="24">
        <v>74288084</v>
      </c>
      <c r="FK28" s="76">
        <v>1890912</v>
      </c>
      <c r="FL28" s="76">
        <v>72397172</v>
      </c>
      <c r="FM28" s="76">
        <v>112</v>
      </c>
      <c r="FN28" s="14">
        <v>53867</v>
      </c>
      <c r="FO28" s="77">
        <v>6</v>
      </c>
      <c r="FP28" s="24">
        <v>73795386</v>
      </c>
      <c r="FQ28" s="76">
        <v>3179379</v>
      </c>
      <c r="FR28" s="76">
        <v>70616007</v>
      </c>
      <c r="FS28" s="76">
        <v>104.95</v>
      </c>
      <c r="FT28" s="14">
        <v>56071</v>
      </c>
      <c r="FU28" s="77">
        <v>7</v>
      </c>
      <c r="FV28" s="37">
        <v>104.09155883936361</v>
      </c>
      <c r="FW28" s="38">
        <v>103.64900086880972</v>
      </c>
      <c r="FY28" s="75">
        <v>73406787</v>
      </c>
      <c r="FZ28" s="76">
        <v>1890912</v>
      </c>
      <c r="GA28" s="76">
        <v>71515875</v>
      </c>
      <c r="GB28" s="76">
        <v>114</v>
      </c>
      <c r="GC28" s="76">
        <v>52278</v>
      </c>
      <c r="GD28" s="77">
        <f t="shared" si="0"/>
        <v>16</v>
      </c>
      <c r="GE28" s="26"/>
      <c r="GF28" s="39">
        <v>74027055</v>
      </c>
      <c r="GG28" s="76">
        <v>1890912</v>
      </c>
      <c r="GH28" s="76">
        <v>72136143</v>
      </c>
      <c r="GI28" s="76">
        <v>114.5</v>
      </c>
      <c r="GJ28" s="14">
        <v>52501</v>
      </c>
      <c r="GK28" s="77">
        <f t="shared" si="1"/>
        <v>19</v>
      </c>
      <c r="GL28" s="39">
        <v>71692221</v>
      </c>
      <c r="GM28" s="76">
        <v>1580535</v>
      </c>
      <c r="GN28" s="295">
        <v>70111686</v>
      </c>
      <c r="GO28" s="76">
        <v>105.63000000000001</v>
      </c>
      <c r="GP28" s="14">
        <v>55312</v>
      </c>
      <c r="GQ28" s="77">
        <f t="shared" si="2"/>
        <v>19</v>
      </c>
      <c r="GR28" s="37">
        <v>109.12978103561694</v>
      </c>
      <c r="GS28" s="38">
        <v>112.53240303316616</v>
      </c>
      <c r="GU28" s="75">
        <v>80134186</v>
      </c>
      <c r="GV28" s="76">
        <v>1890912</v>
      </c>
      <c r="GW28" s="76">
        <v>78243274</v>
      </c>
      <c r="GX28" s="76">
        <v>118</v>
      </c>
      <c r="GY28" s="76">
        <v>55257</v>
      </c>
      <c r="GZ28" s="77">
        <f t="shared" si="3"/>
        <v>18</v>
      </c>
      <c r="HA28" s="26"/>
      <c r="HB28" s="39">
        <v>78136276</v>
      </c>
      <c r="HC28" s="76">
        <v>1890912</v>
      </c>
      <c r="HD28" s="76">
        <v>76245364</v>
      </c>
      <c r="HE28" s="76">
        <v>118</v>
      </c>
      <c r="HF28" s="14">
        <v>53846</v>
      </c>
      <c r="HG28" s="77">
        <f t="shared" si="4"/>
        <v>21</v>
      </c>
      <c r="HH28" s="39">
        <v>75964798</v>
      </c>
      <c r="HI28" s="76">
        <v>1539283</v>
      </c>
      <c r="HJ28" s="295">
        <v>74425515</v>
      </c>
      <c r="HK28" s="76">
        <v>106.24000000000001</v>
      </c>
      <c r="HL28" s="14">
        <v>58378</v>
      </c>
      <c r="HM28" s="77">
        <f t="shared" si="5"/>
        <v>17</v>
      </c>
      <c r="HN28" s="37"/>
      <c r="HO28" s="38"/>
    </row>
    <row r="29" spans="1:223" ht="18" customHeight="1">
      <c r="A29" s="65">
        <v>344</v>
      </c>
      <c r="B29" s="68" t="s">
        <v>41</v>
      </c>
      <c r="C29" s="33" t="s">
        <v>42</v>
      </c>
      <c r="D29" s="41"/>
      <c r="E29" s="75">
        <v>75615000</v>
      </c>
      <c r="F29" s="76">
        <v>783000</v>
      </c>
      <c r="G29" s="76">
        <v>74832000</v>
      </c>
      <c r="H29" s="76">
        <v>230</v>
      </c>
      <c r="I29" s="76">
        <v>27113</v>
      </c>
      <c r="J29" s="77">
        <v>26</v>
      </c>
      <c r="K29" s="38">
        <v>100.31820031820031</v>
      </c>
      <c r="L29" s="75">
        <v>75615000</v>
      </c>
      <c r="M29" s="76">
        <v>783000</v>
      </c>
      <c r="N29" s="76">
        <v>74832000</v>
      </c>
      <c r="O29" s="76">
        <v>230</v>
      </c>
      <c r="P29" s="76">
        <v>27113</v>
      </c>
      <c r="Q29" s="77">
        <v>28</v>
      </c>
      <c r="R29" s="75">
        <v>75606111</v>
      </c>
      <c r="S29" s="76">
        <v>780886</v>
      </c>
      <c r="T29" s="76">
        <v>74825225</v>
      </c>
      <c r="U29" s="76">
        <v>214</v>
      </c>
      <c r="V29" s="76">
        <v>29138</v>
      </c>
      <c r="W29" s="77">
        <v>29</v>
      </c>
      <c r="X29" s="37">
        <v>107.46874193191458</v>
      </c>
      <c r="Y29" s="38">
        <v>99.842379385964904</v>
      </c>
      <c r="AA29" s="75">
        <v>77188145</v>
      </c>
      <c r="AB29" s="76">
        <v>798660</v>
      </c>
      <c r="AC29" s="76">
        <v>76389485</v>
      </c>
      <c r="AD29" s="76">
        <v>230</v>
      </c>
      <c r="AE29" s="76">
        <v>27677</v>
      </c>
      <c r="AF29" s="77">
        <v>29</v>
      </c>
      <c r="AG29" s="38">
        <v>102.08018293807399</v>
      </c>
      <c r="AH29" s="75">
        <v>79137027</v>
      </c>
      <c r="AI29" s="76">
        <v>798660</v>
      </c>
      <c r="AJ29" s="76">
        <v>78338367</v>
      </c>
      <c r="AK29" s="76">
        <v>230</v>
      </c>
      <c r="AL29" s="76">
        <v>28383</v>
      </c>
      <c r="AM29" s="77">
        <v>27</v>
      </c>
      <c r="AN29" s="75">
        <v>79133824</v>
      </c>
      <c r="AO29" s="76">
        <v>796278</v>
      </c>
      <c r="AP29" s="76">
        <v>78337546</v>
      </c>
      <c r="AQ29" s="76">
        <v>219</v>
      </c>
      <c r="AR29" s="76">
        <v>29809</v>
      </c>
      <c r="AS29" s="77">
        <v>32</v>
      </c>
      <c r="AT29" s="37">
        <v>105.02413416481697</v>
      </c>
      <c r="AU29" s="38">
        <v>102.30283478618985</v>
      </c>
      <c r="AW29" s="75">
        <v>82950612</v>
      </c>
      <c r="AX29" s="76">
        <v>839012</v>
      </c>
      <c r="AY29" s="76">
        <v>82111600</v>
      </c>
      <c r="AZ29" s="76">
        <v>221</v>
      </c>
      <c r="BA29" s="76">
        <v>30962</v>
      </c>
      <c r="BB29" s="27">
        <v>24</v>
      </c>
      <c r="BC29" s="38">
        <v>111.86906095313797</v>
      </c>
      <c r="BD29" s="24">
        <v>83353645</v>
      </c>
      <c r="BE29" s="76">
        <v>839012</v>
      </c>
      <c r="BF29" s="76">
        <v>82514633</v>
      </c>
      <c r="BG29" s="76">
        <v>221</v>
      </c>
      <c r="BH29" s="14">
        <v>31114</v>
      </c>
      <c r="BI29" s="27">
        <v>25</v>
      </c>
      <c r="BJ29" s="24">
        <v>83281205</v>
      </c>
      <c r="BK29" s="76">
        <v>838353</v>
      </c>
      <c r="BL29" s="76">
        <v>82442852</v>
      </c>
      <c r="BM29" s="76">
        <v>214</v>
      </c>
      <c r="BN29" s="14">
        <v>32104</v>
      </c>
      <c r="BO29" s="27">
        <v>27</v>
      </c>
      <c r="BP29" s="37">
        <v>103.18184739988429</v>
      </c>
      <c r="BQ29" s="38">
        <v>107.69901707537993</v>
      </c>
      <c r="BS29" s="24">
        <v>86824481</v>
      </c>
      <c r="BT29" s="76">
        <v>864182</v>
      </c>
      <c r="BU29" s="76">
        <v>85960299</v>
      </c>
      <c r="BV29" s="76">
        <v>224</v>
      </c>
      <c r="BW29" s="14">
        <v>31979</v>
      </c>
      <c r="BX29" s="27">
        <v>27</v>
      </c>
      <c r="BY29" s="26">
        <v>103.2846715328467</v>
      </c>
      <c r="BZ29" s="24">
        <v>87527979</v>
      </c>
      <c r="CA29" s="76">
        <v>864182</v>
      </c>
      <c r="CB29" s="76">
        <v>86663797</v>
      </c>
      <c r="CC29" s="76">
        <v>224</v>
      </c>
      <c r="CD29" s="14">
        <v>32241</v>
      </c>
      <c r="CE29" s="77">
        <v>28</v>
      </c>
      <c r="CF29" s="24">
        <v>87522479</v>
      </c>
      <c r="CG29" s="76">
        <v>859865</v>
      </c>
      <c r="CH29" s="76">
        <v>86662614</v>
      </c>
      <c r="CI29" s="76">
        <v>208</v>
      </c>
      <c r="CJ29" s="14">
        <v>34721</v>
      </c>
      <c r="CK29" s="77">
        <v>26</v>
      </c>
      <c r="CL29" s="37">
        <v>107.69206910455631</v>
      </c>
      <c r="CM29" s="38">
        <v>108.15163219536505</v>
      </c>
      <c r="CO29" s="75">
        <v>94623549</v>
      </c>
      <c r="CP29" s="76">
        <v>864182</v>
      </c>
      <c r="CQ29" s="76">
        <v>93759367</v>
      </c>
      <c r="CR29" s="76">
        <v>229</v>
      </c>
      <c r="CS29" s="76">
        <v>34119</v>
      </c>
      <c r="CT29" s="45">
        <v>26</v>
      </c>
      <c r="CU29" s="26">
        <v>106.69189155383221</v>
      </c>
      <c r="CV29" s="75">
        <v>96107208</v>
      </c>
      <c r="CW29" s="76">
        <v>973502</v>
      </c>
      <c r="CX29" s="76">
        <v>95133706</v>
      </c>
      <c r="CY29" s="76">
        <v>229</v>
      </c>
      <c r="CZ29" s="76">
        <v>34619</v>
      </c>
      <c r="DA29" s="77">
        <v>31</v>
      </c>
      <c r="DB29" s="24">
        <v>96101786</v>
      </c>
      <c r="DC29" s="76">
        <v>969221</v>
      </c>
      <c r="DD29" s="76">
        <v>95132565</v>
      </c>
      <c r="DE29" s="76">
        <v>205</v>
      </c>
      <c r="DF29" s="14">
        <v>38672</v>
      </c>
      <c r="DG29" s="77">
        <v>25</v>
      </c>
      <c r="DH29" s="37">
        <v>111.7074438891938</v>
      </c>
      <c r="DI29" s="38">
        <v>111.37928055067539</v>
      </c>
      <c r="DK29" s="24">
        <v>103207258</v>
      </c>
      <c r="DL29" s="76">
        <v>864182</v>
      </c>
      <c r="DM29" s="76">
        <v>102343076</v>
      </c>
      <c r="DN29" s="76">
        <v>229</v>
      </c>
      <c r="DO29" s="14">
        <v>37243</v>
      </c>
      <c r="DP29" s="77">
        <v>28</v>
      </c>
      <c r="DQ29" s="26">
        <v>109.15618863389899</v>
      </c>
      <c r="DR29" s="24">
        <v>103746242</v>
      </c>
      <c r="DS29" s="76">
        <v>1403166</v>
      </c>
      <c r="DT29" s="76">
        <v>102343076</v>
      </c>
      <c r="DU29" s="76">
        <v>229</v>
      </c>
      <c r="DV29" s="14">
        <v>37243</v>
      </c>
      <c r="DW29" s="77">
        <v>29</v>
      </c>
      <c r="DX29" s="24">
        <v>103635773</v>
      </c>
      <c r="DY29" s="76">
        <v>1408761</v>
      </c>
      <c r="DZ29" s="76">
        <v>102227012</v>
      </c>
      <c r="EA29" s="76">
        <v>203.42000000000002</v>
      </c>
      <c r="EB29" s="14">
        <v>41878</v>
      </c>
      <c r="EC29" s="77">
        <v>27</v>
      </c>
      <c r="ED29" s="37">
        <v>112.44529173267459</v>
      </c>
      <c r="EE29" s="38">
        <v>108.29023582954076</v>
      </c>
      <c r="EG29" s="24">
        <v>104584178</v>
      </c>
      <c r="EH29" s="76">
        <v>864182</v>
      </c>
      <c r="EI29" s="76">
        <v>103719996</v>
      </c>
      <c r="EJ29" s="76">
        <v>223</v>
      </c>
      <c r="EK29" s="14">
        <v>38759</v>
      </c>
      <c r="EL29" s="77">
        <v>30</v>
      </c>
      <c r="EM29" s="26">
        <v>104.07056359584352</v>
      </c>
      <c r="EN29" s="24">
        <v>104930786</v>
      </c>
      <c r="EO29" s="76">
        <v>864182</v>
      </c>
      <c r="EP29" s="76">
        <v>104066604</v>
      </c>
      <c r="EQ29" s="76">
        <v>223</v>
      </c>
      <c r="ER29" s="14">
        <v>38889</v>
      </c>
      <c r="ES29" s="77">
        <v>32</v>
      </c>
      <c r="ET29" s="24">
        <v>104859619</v>
      </c>
      <c r="EU29" s="76">
        <v>861114</v>
      </c>
      <c r="EV29" s="76">
        <v>103998505</v>
      </c>
      <c r="EW29" s="76">
        <v>200.79000000000002</v>
      </c>
      <c r="EX29" s="14">
        <v>43162</v>
      </c>
      <c r="EY29" s="27">
        <v>28</v>
      </c>
      <c r="EZ29" s="37">
        <v>110.98768289233459</v>
      </c>
      <c r="FA29" s="38">
        <v>103.06604899947467</v>
      </c>
      <c r="FC29" s="24">
        <v>111629554</v>
      </c>
      <c r="FD29" s="76">
        <v>864182</v>
      </c>
      <c r="FE29" s="76">
        <v>110765372</v>
      </c>
      <c r="FF29" s="76">
        <v>212</v>
      </c>
      <c r="FG29" s="14">
        <v>43540</v>
      </c>
      <c r="FH29" s="77">
        <v>27</v>
      </c>
      <c r="FI29" s="26">
        <v>112.33519956655229</v>
      </c>
      <c r="FJ29" s="24">
        <v>111629554</v>
      </c>
      <c r="FK29" s="76">
        <v>864182</v>
      </c>
      <c r="FL29" s="76">
        <v>110765372</v>
      </c>
      <c r="FM29" s="76">
        <v>212</v>
      </c>
      <c r="FN29" s="14">
        <v>43540</v>
      </c>
      <c r="FO29" s="77">
        <v>28</v>
      </c>
      <c r="FP29" s="24">
        <v>111608276.7</v>
      </c>
      <c r="FQ29" s="76">
        <v>853884</v>
      </c>
      <c r="FR29" s="76">
        <v>110754392.7</v>
      </c>
      <c r="FS29" s="76">
        <v>199.2</v>
      </c>
      <c r="FT29" s="14">
        <v>46333</v>
      </c>
      <c r="FU29" s="77">
        <v>29</v>
      </c>
      <c r="FV29" s="37">
        <v>106.41479099678457</v>
      </c>
      <c r="FW29" s="38">
        <v>107.34674018812844</v>
      </c>
      <c r="FY29" s="75">
        <v>118985529</v>
      </c>
      <c r="FZ29" s="76">
        <v>864182</v>
      </c>
      <c r="GA29" s="76">
        <v>118121347</v>
      </c>
      <c r="GB29" s="76">
        <v>212</v>
      </c>
      <c r="GC29" s="76">
        <v>46431</v>
      </c>
      <c r="GD29" s="77">
        <f t="shared" si="0"/>
        <v>29</v>
      </c>
      <c r="GE29" s="26"/>
      <c r="GF29" s="39">
        <v>118985529</v>
      </c>
      <c r="GG29" s="76">
        <v>864182</v>
      </c>
      <c r="GH29" s="76">
        <v>118121347</v>
      </c>
      <c r="GI29" s="76">
        <v>207</v>
      </c>
      <c r="GJ29" s="14">
        <v>47553</v>
      </c>
      <c r="GK29" s="77">
        <f t="shared" si="1"/>
        <v>27</v>
      </c>
      <c r="GL29" s="39">
        <v>115636976</v>
      </c>
      <c r="GM29" s="76">
        <v>864067</v>
      </c>
      <c r="GN29" s="295">
        <v>114772909</v>
      </c>
      <c r="GO29" s="76">
        <v>190.45999999999998</v>
      </c>
      <c r="GP29" s="14">
        <v>50217</v>
      </c>
      <c r="GQ29" s="77">
        <f t="shared" si="2"/>
        <v>28</v>
      </c>
      <c r="GR29" s="37">
        <v>111.7074438891938</v>
      </c>
      <c r="GS29" s="38">
        <v>111.37928055067539</v>
      </c>
      <c r="GU29" s="75">
        <v>129984417</v>
      </c>
      <c r="GV29" s="76">
        <v>864182</v>
      </c>
      <c r="GW29" s="76">
        <v>129120235</v>
      </c>
      <c r="GX29" s="76">
        <v>207</v>
      </c>
      <c r="GY29" s="76">
        <v>51981</v>
      </c>
      <c r="GZ29" s="77">
        <f t="shared" si="3"/>
        <v>25</v>
      </c>
      <c r="HA29" s="26"/>
      <c r="HB29" s="39">
        <v>129984417</v>
      </c>
      <c r="HC29" s="76">
        <v>864182</v>
      </c>
      <c r="HD29" s="76">
        <v>129120235</v>
      </c>
      <c r="HE29" s="76">
        <v>207</v>
      </c>
      <c r="HF29" s="14">
        <v>51981</v>
      </c>
      <c r="HG29" s="77">
        <f t="shared" si="4"/>
        <v>24</v>
      </c>
      <c r="HH29" s="39">
        <v>125879532</v>
      </c>
      <c r="HI29" s="76">
        <v>842434</v>
      </c>
      <c r="HJ29" s="295">
        <v>125037098</v>
      </c>
      <c r="HK29" s="76">
        <v>187.65</v>
      </c>
      <c r="HL29" s="14">
        <v>55528</v>
      </c>
      <c r="HM29" s="77">
        <f t="shared" si="5"/>
        <v>26</v>
      </c>
      <c r="HN29" s="37"/>
      <c r="HO29" s="38"/>
    </row>
    <row r="30" spans="1:223" ht="18" customHeight="1">
      <c r="A30" s="65">
        <v>345</v>
      </c>
      <c r="B30" s="68" t="s">
        <v>43</v>
      </c>
      <c r="C30" s="33" t="s">
        <v>44</v>
      </c>
      <c r="D30" s="41"/>
      <c r="E30" s="75">
        <v>507660000</v>
      </c>
      <c r="F30" s="76">
        <v>39063000</v>
      </c>
      <c r="G30" s="76">
        <v>468597000</v>
      </c>
      <c r="H30" s="76">
        <v>1500</v>
      </c>
      <c r="I30" s="76">
        <v>26033</v>
      </c>
      <c r="J30" s="77">
        <v>30</v>
      </c>
      <c r="K30" s="38">
        <v>99.900226409301979</v>
      </c>
      <c r="L30" s="75">
        <v>547934262</v>
      </c>
      <c r="M30" s="76">
        <v>40625500</v>
      </c>
      <c r="N30" s="76">
        <v>507308762</v>
      </c>
      <c r="O30" s="76">
        <v>1499</v>
      </c>
      <c r="P30" s="76">
        <v>28203</v>
      </c>
      <c r="Q30" s="77">
        <v>25</v>
      </c>
      <c r="R30" s="75">
        <v>554473874</v>
      </c>
      <c r="S30" s="76">
        <v>40685716</v>
      </c>
      <c r="T30" s="76">
        <v>513788158</v>
      </c>
      <c r="U30" s="76">
        <v>1365</v>
      </c>
      <c r="V30" s="76">
        <v>31367</v>
      </c>
      <c r="W30" s="77">
        <v>24</v>
      </c>
      <c r="X30" s="37">
        <v>111.21866468106229</v>
      </c>
      <c r="Y30" s="38">
        <v>102.35601240006527</v>
      </c>
      <c r="AA30" s="75">
        <v>514068170</v>
      </c>
      <c r="AB30" s="76">
        <v>39358479</v>
      </c>
      <c r="AC30" s="76">
        <v>474709691</v>
      </c>
      <c r="AD30" s="76">
        <v>1499</v>
      </c>
      <c r="AE30" s="76">
        <v>26390</v>
      </c>
      <c r="AF30" s="77">
        <v>33</v>
      </c>
      <c r="AG30" s="38">
        <v>101.37133638074751</v>
      </c>
      <c r="AH30" s="75">
        <v>571574065</v>
      </c>
      <c r="AI30" s="76">
        <v>44427479</v>
      </c>
      <c r="AJ30" s="76">
        <v>527146586</v>
      </c>
      <c r="AK30" s="76">
        <v>1499</v>
      </c>
      <c r="AL30" s="76">
        <v>29305</v>
      </c>
      <c r="AM30" s="77">
        <v>24</v>
      </c>
      <c r="AN30" s="75">
        <v>554580729</v>
      </c>
      <c r="AO30" s="76">
        <v>37956261</v>
      </c>
      <c r="AP30" s="76">
        <v>516624468</v>
      </c>
      <c r="AQ30" s="76">
        <v>1341</v>
      </c>
      <c r="AR30" s="76">
        <v>32104</v>
      </c>
      <c r="AS30" s="77">
        <v>23</v>
      </c>
      <c r="AT30" s="37">
        <v>109.55127111414433</v>
      </c>
      <c r="AU30" s="38">
        <v>102.34960308604583</v>
      </c>
      <c r="AW30" s="75">
        <v>538228273</v>
      </c>
      <c r="AX30" s="76">
        <v>41369150</v>
      </c>
      <c r="AY30" s="76">
        <v>496859123</v>
      </c>
      <c r="AZ30" s="76">
        <v>1390</v>
      </c>
      <c r="BA30" s="76">
        <v>29788</v>
      </c>
      <c r="BB30" s="27">
        <v>28</v>
      </c>
      <c r="BC30" s="38">
        <v>112.87608942781358</v>
      </c>
      <c r="BD30" s="24">
        <v>543612477</v>
      </c>
      <c r="BE30" s="76">
        <v>41559150</v>
      </c>
      <c r="BF30" s="76">
        <v>502053327</v>
      </c>
      <c r="BG30" s="76">
        <v>1390</v>
      </c>
      <c r="BH30" s="14">
        <v>30099</v>
      </c>
      <c r="BI30" s="27">
        <v>27</v>
      </c>
      <c r="BJ30" s="24">
        <v>526518647</v>
      </c>
      <c r="BK30" s="76">
        <v>29222361</v>
      </c>
      <c r="BL30" s="76">
        <v>497296286</v>
      </c>
      <c r="BM30" s="76">
        <v>1339</v>
      </c>
      <c r="BN30" s="14">
        <v>30949</v>
      </c>
      <c r="BO30" s="27">
        <v>32</v>
      </c>
      <c r="BP30" s="37">
        <v>102.82401408684674</v>
      </c>
      <c r="BQ30" s="38">
        <v>96.402317468228262</v>
      </c>
      <c r="BS30" s="24">
        <v>562777813</v>
      </c>
      <c r="BT30" s="76">
        <v>42995248</v>
      </c>
      <c r="BU30" s="76">
        <v>519782565</v>
      </c>
      <c r="BV30" s="76">
        <v>1390</v>
      </c>
      <c r="BW30" s="14">
        <v>31162</v>
      </c>
      <c r="BX30" s="27">
        <v>30</v>
      </c>
      <c r="BY30" s="26">
        <v>104.61259567611118</v>
      </c>
      <c r="BZ30" s="24">
        <v>594625021</v>
      </c>
      <c r="CA30" s="76">
        <v>49793248</v>
      </c>
      <c r="CB30" s="76">
        <v>544831773</v>
      </c>
      <c r="CC30" s="76">
        <v>1390</v>
      </c>
      <c r="CD30" s="14">
        <v>32664</v>
      </c>
      <c r="CE30" s="77">
        <v>24</v>
      </c>
      <c r="CF30" s="24">
        <v>556761240</v>
      </c>
      <c r="CG30" s="76">
        <v>32816673</v>
      </c>
      <c r="CH30" s="76">
        <v>523944567</v>
      </c>
      <c r="CI30" s="76">
        <v>1302</v>
      </c>
      <c r="CJ30" s="14">
        <v>33535</v>
      </c>
      <c r="CK30" s="77">
        <v>30</v>
      </c>
      <c r="CL30" s="37">
        <v>102.66654420769041</v>
      </c>
      <c r="CM30" s="38">
        <v>108.35568192833371</v>
      </c>
      <c r="CO30" s="75">
        <v>590314952</v>
      </c>
      <c r="CP30" s="76">
        <v>42489823</v>
      </c>
      <c r="CQ30" s="76">
        <v>547825129</v>
      </c>
      <c r="CR30" s="76">
        <v>1390</v>
      </c>
      <c r="CS30" s="76">
        <v>32843</v>
      </c>
      <c r="CT30" s="45">
        <v>31</v>
      </c>
      <c r="CU30" s="26">
        <v>105.39439060394069</v>
      </c>
      <c r="CV30" s="75">
        <v>641252485</v>
      </c>
      <c r="CW30" s="76">
        <v>52764823</v>
      </c>
      <c r="CX30" s="76">
        <v>588487662</v>
      </c>
      <c r="CY30" s="76">
        <v>1390</v>
      </c>
      <c r="CZ30" s="76">
        <v>35281</v>
      </c>
      <c r="DA30" s="77">
        <v>29</v>
      </c>
      <c r="DB30" s="24">
        <v>565631709</v>
      </c>
      <c r="DC30" s="76">
        <v>25274925</v>
      </c>
      <c r="DD30" s="76">
        <v>540356784</v>
      </c>
      <c r="DE30" s="76">
        <v>1288.99</v>
      </c>
      <c r="DF30" s="14">
        <v>34934</v>
      </c>
      <c r="DG30" s="77">
        <v>35</v>
      </c>
      <c r="DH30" s="37">
        <v>99.016467787194244</v>
      </c>
      <c r="DI30" s="38">
        <v>104.17176084687641</v>
      </c>
      <c r="DK30" s="24">
        <v>597384645</v>
      </c>
      <c r="DL30" s="76">
        <v>26417648</v>
      </c>
      <c r="DM30" s="76">
        <v>570966997</v>
      </c>
      <c r="DN30" s="76">
        <v>1390</v>
      </c>
      <c r="DO30" s="14">
        <v>34231</v>
      </c>
      <c r="DP30" s="77">
        <v>38</v>
      </c>
      <c r="DQ30" s="26">
        <v>104.22616691532443</v>
      </c>
      <c r="DR30" s="24">
        <v>630154363</v>
      </c>
      <c r="DS30" s="76">
        <v>35621068</v>
      </c>
      <c r="DT30" s="76">
        <v>594533295</v>
      </c>
      <c r="DU30" s="76">
        <v>1390</v>
      </c>
      <c r="DV30" s="14">
        <v>35643</v>
      </c>
      <c r="DW30" s="77">
        <v>37</v>
      </c>
      <c r="DX30" s="24">
        <v>658769674</v>
      </c>
      <c r="DY30" s="76">
        <v>32716863</v>
      </c>
      <c r="DZ30" s="76">
        <v>626052811</v>
      </c>
      <c r="EA30" s="76">
        <v>1290.8200000000002</v>
      </c>
      <c r="EB30" s="14">
        <v>40417</v>
      </c>
      <c r="EC30" s="77">
        <v>33</v>
      </c>
      <c r="ED30" s="37">
        <v>113.39393429284851</v>
      </c>
      <c r="EE30" s="38">
        <v>115.69531115818401</v>
      </c>
      <c r="EG30" s="24">
        <v>671836604</v>
      </c>
      <c r="EH30" s="76">
        <v>2411550</v>
      </c>
      <c r="EI30" s="76">
        <v>669425054</v>
      </c>
      <c r="EJ30" s="76">
        <v>1501.5</v>
      </c>
      <c r="EK30" s="14">
        <v>37153</v>
      </c>
      <c r="EL30" s="77">
        <v>37</v>
      </c>
      <c r="EM30" s="26">
        <v>108.53612222838946</v>
      </c>
      <c r="EN30" s="24">
        <v>705187927</v>
      </c>
      <c r="EO30" s="76">
        <v>8264243</v>
      </c>
      <c r="EP30" s="76">
        <v>696923684</v>
      </c>
      <c r="EQ30" s="76">
        <v>1501.5</v>
      </c>
      <c r="ER30" s="14">
        <v>38679</v>
      </c>
      <c r="ES30" s="77">
        <v>33</v>
      </c>
      <c r="ET30" s="24">
        <v>716979886</v>
      </c>
      <c r="EU30" s="76">
        <v>30295642</v>
      </c>
      <c r="EV30" s="76">
        <v>686684244</v>
      </c>
      <c r="EW30" s="76">
        <v>1402.69</v>
      </c>
      <c r="EX30" s="14">
        <v>40796</v>
      </c>
      <c r="EY30" s="27">
        <v>36</v>
      </c>
      <c r="EZ30" s="37">
        <v>105.47325422063652</v>
      </c>
      <c r="FA30" s="38">
        <v>100.93772422495483</v>
      </c>
      <c r="FC30" s="24">
        <v>751154526</v>
      </c>
      <c r="FD30" s="76">
        <v>7333435</v>
      </c>
      <c r="FE30" s="76">
        <v>743821091</v>
      </c>
      <c r="FF30" s="76">
        <v>1574.5</v>
      </c>
      <c r="FG30" s="14">
        <v>39368</v>
      </c>
      <c r="FH30" s="77">
        <v>36</v>
      </c>
      <c r="FI30" s="26">
        <v>105.96183349931366</v>
      </c>
      <c r="FJ30" s="24">
        <v>788655101</v>
      </c>
      <c r="FK30" s="76">
        <v>16393905</v>
      </c>
      <c r="FL30" s="76">
        <v>772261196</v>
      </c>
      <c r="FM30" s="76">
        <v>1574.17</v>
      </c>
      <c r="FN30" s="14">
        <v>40882</v>
      </c>
      <c r="FO30" s="77">
        <v>34</v>
      </c>
      <c r="FP30" s="24">
        <v>819607389</v>
      </c>
      <c r="FQ30" s="76">
        <v>51442699</v>
      </c>
      <c r="FR30" s="76">
        <v>768164690</v>
      </c>
      <c r="FS30" s="76">
        <v>1527.01</v>
      </c>
      <c r="FT30" s="14">
        <v>41921</v>
      </c>
      <c r="FU30" s="77">
        <v>37</v>
      </c>
      <c r="FV30" s="37">
        <v>102.54146078958955</v>
      </c>
      <c r="FW30" s="38">
        <v>102.75762329640162</v>
      </c>
      <c r="FY30" s="75">
        <v>676274150</v>
      </c>
      <c r="FZ30" s="76">
        <v>30160470</v>
      </c>
      <c r="GA30" s="76">
        <v>646113680</v>
      </c>
      <c r="GB30" s="76">
        <v>1263</v>
      </c>
      <c r="GC30" s="76">
        <v>42631</v>
      </c>
      <c r="GD30" s="77">
        <f t="shared" si="0"/>
        <v>37</v>
      </c>
      <c r="GE30" s="26"/>
      <c r="GF30" s="39">
        <v>744089173</v>
      </c>
      <c r="GG30" s="76">
        <v>46876470</v>
      </c>
      <c r="GH30" s="76">
        <v>697212703</v>
      </c>
      <c r="GI30" s="76">
        <v>1264.67</v>
      </c>
      <c r="GJ30" s="14">
        <v>45942</v>
      </c>
      <c r="GK30" s="77">
        <f t="shared" si="1"/>
        <v>33</v>
      </c>
      <c r="GL30" s="39">
        <v>759026215</v>
      </c>
      <c r="GM30" s="76">
        <v>48416700</v>
      </c>
      <c r="GN30" s="295">
        <v>710609515</v>
      </c>
      <c r="GO30" s="76">
        <v>1238.8699999999999</v>
      </c>
      <c r="GP30" s="14">
        <v>47800</v>
      </c>
      <c r="GQ30" s="77">
        <f t="shared" si="2"/>
        <v>35</v>
      </c>
      <c r="GR30" s="37">
        <v>99.016467787194244</v>
      </c>
      <c r="GS30" s="38">
        <v>104.17176084687641</v>
      </c>
      <c r="GU30" s="75">
        <v>712000842</v>
      </c>
      <c r="GV30" s="76">
        <v>31672000</v>
      </c>
      <c r="GW30" s="76">
        <v>680328842</v>
      </c>
      <c r="GX30" s="76">
        <v>1262</v>
      </c>
      <c r="GY30" s="76">
        <v>44924</v>
      </c>
      <c r="GZ30" s="77">
        <f t="shared" si="3"/>
        <v>38</v>
      </c>
      <c r="HA30" s="26"/>
      <c r="HB30" s="39">
        <v>756632704</v>
      </c>
      <c r="HC30" s="76">
        <v>27744654</v>
      </c>
      <c r="HD30" s="76">
        <v>728888050</v>
      </c>
      <c r="HE30" s="76">
        <v>1252.25</v>
      </c>
      <c r="HF30" s="14">
        <v>48505</v>
      </c>
      <c r="HG30" s="77">
        <f t="shared" si="4"/>
        <v>34</v>
      </c>
      <c r="HH30" s="39">
        <v>762960812</v>
      </c>
      <c r="HI30" s="76">
        <v>34644496</v>
      </c>
      <c r="HJ30" s="295">
        <v>728316316</v>
      </c>
      <c r="HK30" s="76">
        <v>1222.3899999999999</v>
      </c>
      <c r="HL30" s="14">
        <v>49651</v>
      </c>
      <c r="HM30" s="77">
        <f t="shared" si="5"/>
        <v>37</v>
      </c>
      <c r="HN30" s="37"/>
      <c r="HO30" s="38"/>
    </row>
    <row r="31" spans="1:223" ht="18" customHeight="1">
      <c r="A31" s="65">
        <v>346</v>
      </c>
      <c r="B31" s="68" t="s">
        <v>45</v>
      </c>
      <c r="C31" s="33" t="s">
        <v>46</v>
      </c>
      <c r="D31" s="41"/>
      <c r="E31" s="75">
        <v>1423867000</v>
      </c>
      <c r="F31" s="76">
        <v>1976000</v>
      </c>
      <c r="G31" s="76">
        <v>1421891000</v>
      </c>
      <c r="H31" s="76">
        <v>5386</v>
      </c>
      <c r="I31" s="76">
        <v>22000</v>
      </c>
      <c r="J31" s="77">
        <v>38</v>
      </c>
      <c r="K31" s="38">
        <v>100.25062656641603</v>
      </c>
      <c r="L31" s="75">
        <v>1423867000</v>
      </c>
      <c r="M31" s="76">
        <v>2526500</v>
      </c>
      <c r="N31" s="76">
        <v>1421340500</v>
      </c>
      <c r="O31" s="76">
        <v>5386</v>
      </c>
      <c r="P31" s="76">
        <v>21991</v>
      </c>
      <c r="Q31" s="77">
        <v>38</v>
      </c>
      <c r="R31" s="75">
        <v>1426589994</v>
      </c>
      <c r="S31" s="76">
        <v>3071265</v>
      </c>
      <c r="T31" s="76">
        <v>1423518729</v>
      </c>
      <c r="U31" s="76">
        <v>5070</v>
      </c>
      <c r="V31" s="76">
        <v>23398</v>
      </c>
      <c r="W31" s="77">
        <v>37</v>
      </c>
      <c r="X31" s="37">
        <v>106.39807193852032</v>
      </c>
      <c r="Y31" s="38">
        <v>102.33554933519943</v>
      </c>
      <c r="AA31" s="75">
        <v>1451259450</v>
      </c>
      <c r="AB31" s="76">
        <v>1709520</v>
      </c>
      <c r="AC31" s="76">
        <v>1449549930</v>
      </c>
      <c r="AD31" s="76">
        <v>5243</v>
      </c>
      <c r="AE31" s="76">
        <v>23039</v>
      </c>
      <c r="AF31" s="77">
        <v>38</v>
      </c>
      <c r="AG31" s="38">
        <v>104.72272727272727</v>
      </c>
      <c r="AH31" s="75">
        <v>1459713411</v>
      </c>
      <c r="AI31" s="76">
        <v>2219980</v>
      </c>
      <c r="AJ31" s="76">
        <v>1457493431</v>
      </c>
      <c r="AK31" s="76">
        <v>5243</v>
      </c>
      <c r="AL31" s="76">
        <v>23166</v>
      </c>
      <c r="AM31" s="77">
        <v>38</v>
      </c>
      <c r="AN31" s="75">
        <v>1462338885</v>
      </c>
      <c r="AO31" s="76">
        <v>3677209</v>
      </c>
      <c r="AP31" s="76">
        <v>1458661676</v>
      </c>
      <c r="AQ31" s="76">
        <v>5096</v>
      </c>
      <c r="AR31" s="76">
        <v>23853</v>
      </c>
      <c r="AS31" s="77">
        <v>38</v>
      </c>
      <c r="AT31" s="37">
        <v>102.96555296555296</v>
      </c>
      <c r="AU31" s="38">
        <v>101.94461065048294</v>
      </c>
      <c r="AW31" s="75">
        <v>1524102802</v>
      </c>
      <c r="AX31" s="76">
        <v>1844613</v>
      </c>
      <c r="AY31" s="76">
        <v>1522258189</v>
      </c>
      <c r="AZ31" s="76">
        <v>5230</v>
      </c>
      <c r="BA31" s="76">
        <v>24255</v>
      </c>
      <c r="BB31" s="27">
        <v>38</v>
      </c>
      <c r="BC31" s="38">
        <v>105.27800685793653</v>
      </c>
      <c r="BD31" s="24">
        <v>1531714093</v>
      </c>
      <c r="BE31" s="76">
        <v>2487113</v>
      </c>
      <c r="BF31" s="76">
        <v>1529226980</v>
      </c>
      <c r="BG31" s="76">
        <v>5234</v>
      </c>
      <c r="BH31" s="14">
        <v>24348</v>
      </c>
      <c r="BI31" s="27">
        <v>38</v>
      </c>
      <c r="BJ31" s="24">
        <v>1532404204.48</v>
      </c>
      <c r="BK31" s="76">
        <v>3111583</v>
      </c>
      <c r="BL31" s="76">
        <v>1529292621.48</v>
      </c>
      <c r="BM31" s="76">
        <v>5062</v>
      </c>
      <c r="BN31" s="14">
        <v>25176</v>
      </c>
      <c r="BO31" s="27">
        <v>37</v>
      </c>
      <c r="BP31" s="37">
        <v>103.40068999507146</v>
      </c>
      <c r="BQ31" s="38">
        <v>105.54647214186895</v>
      </c>
      <c r="BS31" s="24">
        <v>1598741859</v>
      </c>
      <c r="BT31" s="76">
        <v>2167452</v>
      </c>
      <c r="BU31" s="76">
        <v>1596574407</v>
      </c>
      <c r="BV31" s="76">
        <v>5230</v>
      </c>
      <c r="BW31" s="14">
        <v>25439</v>
      </c>
      <c r="BX31" s="27">
        <v>36</v>
      </c>
      <c r="BY31" s="26">
        <v>104.8814677386106</v>
      </c>
      <c r="BZ31" s="24">
        <v>1612510646</v>
      </c>
      <c r="CA31" s="76">
        <v>2763852</v>
      </c>
      <c r="CB31" s="76">
        <v>1609746794</v>
      </c>
      <c r="CC31" s="76">
        <v>5230</v>
      </c>
      <c r="CD31" s="14">
        <v>25649</v>
      </c>
      <c r="CE31" s="77">
        <v>38</v>
      </c>
      <c r="CF31" s="24">
        <v>1613019227.02</v>
      </c>
      <c r="CG31" s="76">
        <v>2999138</v>
      </c>
      <c r="CH31" s="76">
        <v>1610020089.02</v>
      </c>
      <c r="CI31" s="76">
        <v>4995</v>
      </c>
      <c r="CJ31" s="14">
        <v>26861</v>
      </c>
      <c r="CK31" s="77">
        <v>37</v>
      </c>
      <c r="CL31" s="37">
        <v>104.72533042223868</v>
      </c>
      <c r="CM31" s="38">
        <v>106.69288210994598</v>
      </c>
      <c r="CO31" s="75">
        <v>1681457000</v>
      </c>
      <c r="CP31" s="76">
        <v>2734291</v>
      </c>
      <c r="CQ31" s="76">
        <v>1678722709</v>
      </c>
      <c r="CR31" s="76">
        <v>5230</v>
      </c>
      <c r="CS31" s="76">
        <v>26748</v>
      </c>
      <c r="CT31" s="45">
        <v>37</v>
      </c>
      <c r="CU31" s="26">
        <v>105.14564251739455</v>
      </c>
      <c r="CV31" s="75">
        <v>1706637841</v>
      </c>
      <c r="CW31" s="76">
        <v>3507291</v>
      </c>
      <c r="CX31" s="76">
        <v>1703130550</v>
      </c>
      <c r="CY31" s="76">
        <v>5230</v>
      </c>
      <c r="CZ31" s="76">
        <v>27137</v>
      </c>
      <c r="DA31" s="77">
        <v>41</v>
      </c>
      <c r="DB31" s="24">
        <v>1705673946</v>
      </c>
      <c r="DC31" s="76">
        <v>3344309</v>
      </c>
      <c r="DD31" s="76">
        <v>1702329637</v>
      </c>
      <c r="DE31" s="76">
        <v>4963</v>
      </c>
      <c r="DF31" s="14">
        <v>28584</v>
      </c>
      <c r="DG31" s="77">
        <v>40</v>
      </c>
      <c r="DH31" s="37">
        <v>105.33220326491505</v>
      </c>
      <c r="DI31" s="38">
        <v>106.41450429991437</v>
      </c>
      <c r="DK31" s="24">
        <v>1832555795</v>
      </c>
      <c r="DL31" s="76">
        <v>2581509</v>
      </c>
      <c r="DM31" s="76">
        <v>1829974286</v>
      </c>
      <c r="DN31" s="76">
        <v>5230</v>
      </c>
      <c r="DO31" s="14">
        <v>29158</v>
      </c>
      <c r="DP31" s="77">
        <v>39</v>
      </c>
      <c r="DQ31" s="26">
        <v>109.01001944070585</v>
      </c>
      <c r="DR31" s="24">
        <v>1832555795</v>
      </c>
      <c r="DS31" s="76">
        <v>2646509</v>
      </c>
      <c r="DT31" s="76">
        <v>1829909286</v>
      </c>
      <c r="DU31" s="76">
        <v>5230</v>
      </c>
      <c r="DV31" s="14">
        <v>29157</v>
      </c>
      <c r="DW31" s="77">
        <v>41</v>
      </c>
      <c r="DX31" s="24">
        <v>1832443484</v>
      </c>
      <c r="DY31" s="76">
        <v>2771783</v>
      </c>
      <c r="DZ31" s="76">
        <v>1829671701</v>
      </c>
      <c r="EA31" s="76">
        <v>4957.2700000000004</v>
      </c>
      <c r="EB31" s="14">
        <v>30757</v>
      </c>
      <c r="EC31" s="77">
        <v>41</v>
      </c>
      <c r="ED31" s="37">
        <v>105.48753301094077</v>
      </c>
      <c r="EE31" s="38">
        <v>107.60215505177722</v>
      </c>
      <c r="EG31" s="24">
        <v>1980641236</v>
      </c>
      <c r="EH31" s="76">
        <v>2604419</v>
      </c>
      <c r="EI31" s="76">
        <v>1978036817</v>
      </c>
      <c r="EJ31" s="76">
        <v>5195</v>
      </c>
      <c r="EK31" s="14">
        <v>31730</v>
      </c>
      <c r="EL31" s="77">
        <v>40</v>
      </c>
      <c r="EM31" s="26">
        <v>108.82090678373002</v>
      </c>
      <c r="EN31" s="24">
        <v>1993885132</v>
      </c>
      <c r="EO31" s="76">
        <v>3240969</v>
      </c>
      <c r="EP31" s="76">
        <v>1990644163</v>
      </c>
      <c r="EQ31" s="76">
        <v>5195</v>
      </c>
      <c r="ER31" s="14">
        <v>31932</v>
      </c>
      <c r="ES31" s="77">
        <v>40</v>
      </c>
      <c r="ET31" s="24">
        <v>1992878116.4300001</v>
      </c>
      <c r="EU31" s="76">
        <v>3057924</v>
      </c>
      <c r="EV31" s="76">
        <v>1989820192.4300001</v>
      </c>
      <c r="EW31" s="76">
        <v>4955.91</v>
      </c>
      <c r="EX31" s="14">
        <v>33459</v>
      </c>
      <c r="EY31" s="27">
        <v>42</v>
      </c>
      <c r="EZ31" s="37">
        <v>104.78203682826006</v>
      </c>
      <c r="FA31" s="38">
        <v>108.78499203433365</v>
      </c>
      <c r="FC31" s="24">
        <v>2059904346</v>
      </c>
      <c r="FD31" s="76">
        <v>2818309</v>
      </c>
      <c r="FE31" s="76">
        <v>2057086037</v>
      </c>
      <c r="FF31" s="76">
        <v>5040</v>
      </c>
      <c r="FG31" s="14">
        <v>34013</v>
      </c>
      <c r="FH31" s="77">
        <v>40</v>
      </c>
      <c r="FI31" s="26">
        <v>107.19508351717617</v>
      </c>
      <c r="FJ31" s="24">
        <v>2059904346</v>
      </c>
      <c r="FK31" s="76">
        <v>5603949</v>
      </c>
      <c r="FL31" s="76">
        <v>2054300397</v>
      </c>
      <c r="FM31" s="76">
        <v>5040</v>
      </c>
      <c r="FN31" s="14">
        <v>33967</v>
      </c>
      <c r="FO31" s="77">
        <v>42</v>
      </c>
      <c r="FP31" s="24">
        <v>2058157500</v>
      </c>
      <c r="FQ31" s="76">
        <v>5974328</v>
      </c>
      <c r="FR31" s="76">
        <v>2052183172</v>
      </c>
      <c r="FS31" s="76">
        <v>4849.21</v>
      </c>
      <c r="FT31" s="14">
        <v>35267</v>
      </c>
      <c r="FU31" s="77">
        <v>42</v>
      </c>
      <c r="FV31" s="37">
        <v>103.82724408985192</v>
      </c>
      <c r="FW31" s="38">
        <v>105.40362832122896</v>
      </c>
      <c r="FY31" s="75">
        <v>2153653417</v>
      </c>
      <c r="FZ31" s="76">
        <v>3392909</v>
      </c>
      <c r="GA31" s="76">
        <v>2150260508</v>
      </c>
      <c r="GB31" s="76">
        <v>4889</v>
      </c>
      <c r="GC31" s="76">
        <v>36651</v>
      </c>
      <c r="GD31" s="77">
        <f t="shared" si="0"/>
        <v>42</v>
      </c>
      <c r="GE31" s="26"/>
      <c r="GF31" s="39">
        <v>2198163787</v>
      </c>
      <c r="GG31" s="76">
        <v>4520729</v>
      </c>
      <c r="GH31" s="76">
        <v>2193643058</v>
      </c>
      <c r="GI31" s="76">
        <v>4886</v>
      </c>
      <c r="GJ31" s="14">
        <v>37414</v>
      </c>
      <c r="GK31" s="77">
        <f t="shared" si="1"/>
        <v>42</v>
      </c>
      <c r="GL31" s="39">
        <v>2179123156</v>
      </c>
      <c r="GM31" s="76">
        <v>4420328</v>
      </c>
      <c r="GN31" s="295">
        <v>2174702828</v>
      </c>
      <c r="GO31" s="76">
        <v>4657.3</v>
      </c>
      <c r="GP31" s="14">
        <v>38912</v>
      </c>
      <c r="GQ31" s="77">
        <f t="shared" si="2"/>
        <v>43</v>
      </c>
      <c r="GR31" s="37">
        <v>105.33220326491505</v>
      </c>
      <c r="GS31" s="38">
        <v>106.41450429991437</v>
      </c>
      <c r="GU31" s="75">
        <v>2486953252</v>
      </c>
      <c r="GV31" s="76">
        <v>3331909</v>
      </c>
      <c r="GW31" s="76">
        <v>2483621343</v>
      </c>
      <c r="GX31" s="76">
        <v>4848</v>
      </c>
      <c r="GY31" s="76">
        <v>42692</v>
      </c>
      <c r="GZ31" s="77">
        <f t="shared" si="3"/>
        <v>41</v>
      </c>
      <c r="HA31" s="26"/>
      <c r="HB31" s="39">
        <v>2472116466</v>
      </c>
      <c r="HC31" s="76">
        <v>4170129</v>
      </c>
      <c r="HD31" s="76">
        <v>2467946337</v>
      </c>
      <c r="HE31" s="76">
        <v>4848</v>
      </c>
      <c r="HF31" s="14">
        <v>42422</v>
      </c>
      <c r="HG31" s="77">
        <f t="shared" si="4"/>
        <v>41</v>
      </c>
      <c r="HH31" s="39">
        <v>2467872649</v>
      </c>
      <c r="HI31" s="76">
        <v>5050307</v>
      </c>
      <c r="HJ31" s="295">
        <v>2462822342</v>
      </c>
      <c r="HK31" s="76">
        <v>4611.8100000000004</v>
      </c>
      <c r="HL31" s="14">
        <v>44502</v>
      </c>
      <c r="HM31" s="77">
        <f t="shared" si="5"/>
        <v>41</v>
      </c>
      <c r="HN31" s="37"/>
      <c r="HO31" s="38"/>
    </row>
    <row r="32" spans="1:223" ht="18" customHeight="1">
      <c r="A32" s="65">
        <v>348</v>
      </c>
      <c r="B32" s="68" t="s">
        <v>47</v>
      </c>
      <c r="C32" s="33" t="s">
        <v>93</v>
      </c>
      <c r="D32" s="41"/>
      <c r="E32" s="75">
        <v>77210000</v>
      </c>
      <c r="F32" s="76">
        <v>85000</v>
      </c>
      <c r="G32" s="76">
        <v>77125000</v>
      </c>
      <c r="H32" s="76">
        <v>205</v>
      </c>
      <c r="I32" s="76">
        <v>31352</v>
      </c>
      <c r="J32" s="77">
        <v>18</v>
      </c>
      <c r="K32" s="38">
        <v>100</v>
      </c>
      <c r="L32" s="75">
        <v>77210000</v>
      </c>
      <c r="M32" s="76">
        <v>85000</v>
      </c>
      <c r="N32" s="76">
        <v>77125000</v>
      </c>
      <c r="O32" s="76">
        <v>205</v>
      </c>
      <c r="P32" s="76">
        <v>31352</v>
      </c>
      <c r="Q32" s="77">
        <v>21</v>
      </c>
      <c r="R32" s="75">
        <v>77146793</v>
      </c>
      <c r="S32" s="76">
        <v>28000</v>
      </c>
      <c r="T32" s="76">
        <v>77118793</v>
      </c>
      <c r="U32" s="76">
        <v>182</v>
      </c>
      <c r="V32" s="76">
        <v>35311</v>
      </c>
      <c r="W32" s="77">
        <v>18</v>
      </c>
      <c r="X32" s="37">
        <v>112.62758356723654</v>
      </c>
      <c r="Y32" s="38">
        <v>100.54671260571202</v>
      </c>
      <c r="AA32" s="75">
        <v>78754200</v>
      </c>
      <c r="AB32" s="76">
        <v>86700</v>
      </c>
      <c r="AC32" s="76">
        <v>78667500</v>
      </c>
      <c r="AD32" s="76">
        <v>205</v>
      </c>
      <c r="AE32" s="76">
        <v>31979</v>
      </c>
      <c r="AF32" s="77">
        <v>20</v>
      </c>
      <c r="AG32" s="38">
        <v>101.99987241643275</v>
      </c>
      <c r="AH32" s="75">
        <v>79213094</v>
      </c>
      <c r="AI32" s="76">
        <v>86700</v>
      </c>
      <c r="AJ32" s="76">
        <v>79126394</v>
      </c>
      <c r="AK32" s="76">
        <v>205</v>
      </c>
      <c r="AL32" s="76">
        <v>32165</v>
      </c>
      <c r="AM32" s="77">
        <v>21</v>
      </c>
      <c r="AN32" s="75">
        <v>79057356</v>
      </c>
      <c r="AO32" s="76">
        <v>35400</v>
      </c>
      <c r="AP32" s="76">
        <v>79021956</v>
      </c>
      <c r="AQ32" s="76">
        <v>183</v>
      </c>
      <c r="AR32" s="76">
        <v>35984</v>
      </c>
      <c r="AS32" s="77">
        <v>19</v>
      </c>
      <c r="AT32" s="37">
        <v>111.87315404943261</v>
      </c>
      <c r="AU32" s="38">
        <v>101.90592166746906</v>
      </c>
      <c r="AW32" s="75">
        <v>82733257</v>
      </c>
      <c r="AX32" s="76">
        <v>91081</v>
      </c>
      <c r="AY32" s="76">
        <v>82642176</v>
      </c>
      <c r="AZ32" s="76">
        <v>194</v>
      </c>
      <c r="BA32" s="76">
        <v>35499</v>
      </c>
      <c r="BB32" s="27">
        <v>18</v>
      </c>
      <c r="BC32" s="38">
        <v>111.00722349041558</v>
      </c>
      <c r="BD32" s="24">
        <v>83146468</v>
      </c>
      <c r="BE32" s="76">
        <v>91081</v>
      </c>
      <c r="BF32" s="76">
        <v>83055387</v>
      </c>
      <c r="BG32" s="76">
        <v>194</v>
      </c>
      <c r="BH32" s="14">
        <v>35677</v>
      </c>
      <c r="BI32" s="27">
        <v>19</v>
      </c>
      <c r="BJ32" s="24">
        <v>81623693</v>
      </c>
      <c r="BK32" s="76">
        <v>27600</v>
      </c>
      <c r="BL32" s="76">
        <v>81596093</v>
      </c>
      <c r="BM32" s="76">
        <v>187</v>
      </c>
      <c r="BN32" s="14">
        <v>36362</v>
      </c>
      <c r="BO32" s="27">
        <v>20</v>
      </c>
      <c r="BP32" s="37">
        <v>101.92000448468201</v>
      </c>
      <c r="BQ32" s="38">
        <v>101.0504668741663</v>
      </c>
      <c r="BS32" s="24">
        <v>86566250</v>
      </c>
      <c r="BT32" s="76">
        <v>93813</v>
      </c>
      <c r="BU32" s="76">
        <v>86472437</v>
      </c>
      <c r="BV32" s="76">
        <v>194</v>
      </c>
      <c r="BW32" s="14">
        <v>37145</v>
      </c>
      <c r="BX32" s="27">
        <v>19</v>
      </c>
      <c r="BY32" s="26">
        <v>104.63675033099524</v>
      </c>
      <c r="BZ32" s="24">
        <v>87286854</v>
      </c>
      <c r="CA32" s="76">
        <v>93813</v>
      </c>
      <c r="CB32" s="76">
        <v>87193041</v>
      </c>
      <c r="CC32" s="76">
        <v>194</v>
      </c>
      <c r="CD32" s="14">
        <v>37454</v>
      </c>
      <c r="CE32" s="77">
        <v>18</v>
      </c>
      <c r="CF32" s="24">
        <v>87008823</v>
      </c>
      <c r="CG32" s="76">
        <v>63850</v>
      </c>
      <c r="CH32" s="76">
        <v>86944973</v>
      </c>
      <c r="CI32" s="76">
        <v>183</v>
      </c>
      <c r="CJ32" s="14">
        <v>39592</v>
      </c>
      <c r="CK32" s="77">
        <v>18</v>
      </c>
      <c r="CL32" s="37">
        <v>105.70833555828483</v>
      </c>
      <c r="CM32" s="38">
        <v>108.88289973048788</v>
      </c>
      <c r="CO32" s="75">
        <v>91555152</v>
      </c>
      <c r="CP32" s="76">
        <v>93813</v>
      </c>
      <c r="CQ32" s="76">
        <v>91461339</v>
      </c>
      <c r="CR32" s="76">
        <v>194</v>
      </c>
      <c r="CS32" s="76">
        <v>39288</v>
      </c>
      <c r="CT32" s="45">
        <v>19</v>
      </c>
      <c r="CU32" s="26">
        <v>105.76928254139185</v>
      </c>
      <c r="CV32" s="75">
        <v>92927072</v>
      </c>
      <c r="CW32" s="76">
        <v>93813</v>
      </c>
      <c r="CX32" s="76">
        <v>92833259</v>
      </c>
      <c r="CY32" s="76">
        <v>194</v>
      </c>
      <c r="CZ32" s="76">
        <v>39877</v>
      </c>
      <c r="DA32" s="77">
        <v>21</v>
      </c>
      <c r="DB32" s="24">
        <v>93643754</v>
      </c>
      <c r="DC32" s="76">
        <v>92450</v>
      </c>
      <c r="DD32" s="76">
        <v>93551304</v>
      </c>
      <c r="DE32" s="76">
        <v>186</v>
      </c>
      <c r="DF32" s="14">
        <v>41914</v>
      </c>
      <c r="DG32" s="77">
        <v>23</v>
      </c>
      <c r="DH32" s="37">
        <v>105.10820773879681</v>
      </c>
      <c r="DI32" s="38">
        <v>105.86482117599516</v>
      </c>
      <c r="DK32" s="24">
        <v>99786673</v>
      </c>
      <c r="DL32" s="76">
        <v>93813</v>
      </c>
      <c r="DM32" s="76">
        <v>99692860</v>
      </c>
      <c r="DN32" s="76">
        <v>194</v>
      </c>
      <c r="DO32" s="14">
        <v>42823</v>
      </c>
      <c r="DP32" s="77">
        <v>17</v>
      </c>
      <c r="DQ32" s="26">
        <v>108.9976583180615</v>
      </c>
      <c r="DR32" s="24">
        <v>99786673</v>
      </c>
      <c r="DS32" s="76">
        <v>93813</v>
      </c>
      <c r="DT32" s="76">
        <v>99692860</v>
      </c>
      <c r="DU32" s="76">
        <v>194</v>
      </c>
      <c r="DV32" s="14">
        <v>42823</v>
      </c>
      <c r="DW32" s="77">
        <v>18</v>
      </c>
      <c r="DX32" s="24">
        <v>100752666</v>
      </c>
      <c r="DY32" s="76">
        <v>80990</v>
      </c>
      <c r="DZ32" s="76">
        <v>100671676</v>
      </c>
      <c r="EA32" s="76">
        <v>188.31</v>
      </c>
      <c r="EB32" s="14">
        <v>44551</v>
      </c>
      <c r="EC32" s="77">
        <v>24</v>
      </c>
      <c r="ED32" s="37">
        <v>104.03521472106112</v>
      </c>
      <c r="EE32" s="38">
        <v>106.29145392947463</v>
      </c>
      <c r="EG32" s="24">
        <v>107179686</v>
      </c>
      <c r="EH32" s="76">
        <v>93813</v>
      </c>
      <c r="EI32" s="76">
        <v>107085873</v>
      </c>
      <c r="EJ32" s="76">
        <v>195</v>
      </c>
      <c r="EK32" s="14">
        <v>45763</v>
      </c>
      <c r="EL32" s="77">
        <v>16</v>
      </c>
      <c r="EM32" s="26">
        <v>106.86546949069424</v>
      </c>
      <c r="EN32" s="24">
        <v>107179686</v>
      </c>
      <c r="EO32" s="76">
        <v>93813</v>
      </c>
      <c r="EP32" s="76">
        <v>107085873</v>
      </c>
      <c r="EQ32" s="76">
        <v>195</v>
      </c>
      <c r="ER32" s="14">
        <v>45763</v>
      </c>
      <c r="ES32" s="77">
        <v>17</v>
      </c>
      <c r="ET32" s="24">
        <v>106587345</v>
      </c>
      <c r="EU32" s="76">
        <v>40100</v>
      </c>
      <c r="EV32" s="76">
        <v>106547245</v>
      </c>
      <c r="EW32" s="76">
        <v>188.69</v>
      </c>
      <c r="EX32" s="14">
        <v>47056</v>
      </c>
      <c r="EY32" s="27">
        <v>23</v>
      </c>
      <c r="EZ32" s="37">
        <v>102.82542665472106</v>
      </c>
      <c r="FA32" s="38">
        <v>105.62276941033872</v>
      </c>
      <c r="FC32" s="24">
        <v>108297564</v>
      </c>
      <c r="FD32" s="76">
        <v>93813</v>
      </c>
      <c r="FE32" s="76">
        <v>108203751</v>
      </c>
      <c r="FF32" s="76">
        <v>193</v>
      </c>
      <c r="FG32" s="14">
        <v>46720</v>
      </c>
      <c r="FH32" s="77">
        <v>21</v>
      </c>
      <c r="FI32" s="26">
        <v>102.09120905535039</v>
      </c>
      <c r="FJ32" s="24">
        <v>108243759</v>
      </c>
      <c r="FK32" s="76">
        <v>40008</v>
      </c>
      <c r="FL32" s="76">
        <v>108203751</v>
      </c>
      <c r="FM32" s="76">
        <v>193</v>
      </c>
      <c r="FN32" s="14">
        <v>46720</v>
      </c>
      <c r="FO32" s="77">
        <v>20</v>
      </c>
      <c r="FP32" s="24">
        <v>107900982</v>
      </c>
      <c r="FQ32" s="76">
        <v>74908</v>
      </c>
      <c r="FR32" s="76">
        <v>107826074</v>
      </c>
      <c r="FS32" s="76">
        <v>187.84</v>
      </c>
      <c r="FT32" s="14">
        <v>47836</v>
      </c>
      <c r="FU32" s="77">
        <v>26</v>
      </c>
      <c r="FV32" s="37">
        <v>102.38869863013697</v>
      </c>
      <c r="FW32" s="38">
        <v>101.65759945596736</v>
      </c>
      <c r="FY32" s="75">
        <v>113154726</v>
      </c>
      <c r="FZ32" s="76">
        <v>93813</v>
      </c>
      <c r="GA32" s="76">
        <v>113060913</v>
      </c>
      <c r="GB32" s="76">
        <v>185</v>
      </c>
      <c r="GC32" s="76">
        <v>50928</v>
      </c>
      <c r="GD32" s="77">
        <f t="shared" si="0"/>
        <v>20</v>
      </c>
      <c r="GE32" s="26"/>
      <c r="GF32" s="39">
        <v>113154726</v>
      </c>
      <c r="GG32" s="76">
        <v>93813</v>
      </c>
      <c r="GH32" s="76">
        <v>113060913</v>
      </c>
      <c r="GI32" s="76">
        <v>184.5</v>
      </c>
      <c r="GJ32" s="14">
        <v>51066</v>
      </c>
      <c r="GK32" s="77">
        <f t="shared" si="1"/>
        <v>22</v>
      </c>
      <c r="GL32" s="39">
        <v>112488696</v>
      </c>
      <c r="GM32" s="76">
        <v>36800</v>
      </c>
      <c r="GN32" s="295">
        <v>112451896</v>
      </c>
      <c r="GO32" s="76">
        <v>176.7</v>
      </c>
      <c r="GP32" s="14">
        <v>53033</v>
      </c>
      <c r="GQ32" s="77">
        <f t="shared" si="2"/>
        <v>25</v>
      </c>
      <c r="GR32" s="37">
        <v>105.10820773879681</v>
      </c>
      <c r="GS32" s="38">
        <v>105.86482117599516</v>
      </c>
      <c r="GU32" s="75">
        <v>120365636</v>
      </c>
      <c r="GV32" s="76">
        <v>93813</v>
      </c>
      <c r="GW32" s="76">
        <v>120271823</v>
      </c>
      <c r="GX32" s="76">
        <v>184</v>
      </c>
      <c r="GY32" s="76">
        <v>54471</v>
      </c>
      <c r="GZ32" s="77">
        <f t="shared" si="3"/>
        <v>20</v>
      </c>
      <c r="HA32" s="26"/>
      <c r="HB32" s="39">
        <v>120365636</v>
      </c>
      <c r="HC32" s="76">
        <v>93813</v>
      </c>
      <c r="HD32" s="76">
        <v>120271823</v>
      </c>
      <c r="HE32" s="76">
        <v>183.92</v>
      </c>
      <c r="HF32" s="14">
        <v>54495</v>
      </c>
      <c r="HG32" s="77">
        <f t="shared" si="4"/>
        <v>20</v>
      </c>
      <c r="HH32" s="39">
        <v>119308387</v>
      </c>
      <c r="HI32" s="76">
        <v>62668</v>
      </c>
      <c r="HJ32" s="295">
        <v>119245719</v>
      </c>
      <c r="HK32" s="76">
        <v>176.58</v>
      </c>
      <c r="HL32" s="14">
        <v>56276</v>
      </c>
      <c r="HM32" s="77">
        <f t="shared" si="5"/>
        <v>23</v>
      </c>
      <c r="HN32" s="37"/>
      <c r="HO32" s="38"/>
    </row>
    <row r="33" spans="1:223" ht="18" customHeight="1">
      <c r="A33" s="65">
        <v>349</v>
      </c>
      <c r="B33" s="68" t="s">
        <v>88</v>
      </c>
      <c r="C33" s="33" t="s">
        <v>89</v>
      </c>
      <c r="D33" s="41"/>
      <c r="E33" s="75">
        <v>85989000</v>
      </c>
      <c r="F33" s="76">
        <v>2098000</v>
      </c>
      <c r="G33" s="76">
        <v>83891000</v>
      </c>
      <c r="H33" s="76">
        <v>193</v>
      </c>
      <c r="I33" s="76">
        <v>36222</v>
      </c>
      <c r="J33" s="77">
        <v>7</v>
      </c>
      <c r="K33" s="38">
        <v>100</v>
      </c>
      <c r="L33" s="75">
        <v>85989000</v>
      </c>
      <c r="M33" s="76">
        <v>2098000</v>
      </c>
      <c r="N33" s="76">
        <v>83891000</v>
      </c>
      <c r="O33" s="76">
        <v>193</v>
      </c>
      <c r="P33" s="76">
        <v>36222</v>
      </c>
      <c r="Q33" s="77">
        <v>7</v>
      </c>
      <c r="R33" s="75">
        <v>88067255</v>
      </c>
      <c r="S33" s="76">
        <v>2186560</v>
      </c>
      <c r="T33" s="76">
        <v>85880695</v>
      </c>
      <c r="U33" s="76">
        <v>190</v>
      </c>
      <c r="V33" s="76">
        <v>37667</v>
      </c>
      <c r="W33" s="77">
        <v>12</v>
      </c>
      <c r="X33" s="37">
        <v>103.98928827784219</v>
      </c>
      <c r="Y33" s="38">
        <v>97.170054689918487</v>
      </c>
      <c r="AA33" s="75">
        <v>100968960</v>
      </c>
      <c r="AB33" s="76">
        <v>2139960</v>
      </c>
      <c r="AC33" s="76">
        <v>98829000</v>
      </c>
      <c r="AD33" s="76">
        <v>224</v>
      </c>
      <c r="AE33" s="76">
        <v>36767</v>
      </c>
      <c r="AF33" s="77">
        <v>10</v>
      </c>
      <c r="AG33" s="38">
        <v>101.50461045773287</v>
      </c>
      <c r="AH33" s="75">
        <v>101536310</v>
      </c>
      <c r="AI33" s="76">
        <v>2139960</v>
      </c>
      <c r="AJ33" s="76">
        <v>99396350</v>
      </c>
      <c r="AK33" s="76">
        <v>224</v>
      </c>
      <c r="AL33" s="76">
        <v>36978</v>
      </c>
      <c r="AM33" s="77">
        <v>10</v>
      </c>
      <c r="AN33" s="75">
        <v>101854364</v>
      </c>
      <c r="AO33" s="76">
        <v>2679761</v>
      </c>
      <c r="AP33" s="76">
        <v>99174603</v>
      </c>
      <c r="AQ33" s="76">
        <v>217</v>
      </c>
      <c r="AR33" s="76">
        <v>38085</v>
      </c>
      <c r="AS33" s="77">
        <v>12</v>
      </c>
      <c r="AT33" s="37">
        <v>102.99367191302937</v>
      </c>
      <c r="AU33" s="38">
        <v>101.10972469270183</v>
      </c>
      <c r="AW33" s="75">
        <v>119855139</v>
      </c>
      <c r="AX33" s="76">
        <v>2248082</v>
      </c>
      <c r="AY33" s="76">
        <v>117607057</v>
      </c>
      <c r="AZ33" s="76">
        <v>254</v>
      </c>
      <c r="BA33" s="76">
        <v>38585</v>
      </c>
      <c r="BB33" s="27">
        <v>11</v>
      </c>
      <c r="BC33" s="38">
        <v>104.94465145374929</v>
      </c>
      <c r="BD33" s="24">
        <v>120435251</v>
      </c>
      <c r="BE33" s="76">
        <v>2248082</v>
      </c>
      <c r="BF33" s="76">
        <v>118187169</v>
      </c>
      <c r="BG33" s="76">
        <v>254</v>
      </c>
      <c r="BH33" s="14">
        <v>38775</v>
      </c>
      <c r="BI33" s="27">
        <v>11</v>
      </c>
      <c r="BJ33" s="24">
        <v>116700251</v>
      </c>
      <c r="BK33" s="76">
        <v>1999416</v>
      </c>
      <c r="BL33" s="76">
        <v>114700835</v>
      </c>
      <c r="BM33" s="76">
        <v>239</v>
      </c>
      <c r="BN33" s="14">
        <v>39993</v>
      </c>
      <c r="BO33" s="27">
        <v>11</v>
      </c>
      <c r="BP33" s="37">
        <v>103.1411992263056</v>
      </c>
      <c r="BQ33" s="38">
        <v>105.00984639621898</v>
      </c>
      <c r="BS33" s="24">
        <v>142279374</v>
      </c>
      <c r="BT33" s="76">
        <v>2315524</v>
      </c>
      <c r="BU33" s="76">
        <v>139963850</v>
      </c>
      <c r="BV33" s="76">
        <v>294</v>
      </c>
      <c r="BW33" s="14">
        <v>39672</v>
      </c>
      <c r="BX33" s="27">
        <v>12</v>
      </c>
      <c r="BY33" s="26">
        <v>102.81715692626668</v>
      </c>
      <c r="BZ33" s="24">
        <v>143430540</v>
      </c>
      <c r="CA33" s="76">
        <v>2315524</v>
      </c>
      <c r="CB33" s="76">
        <v>141115016</v>
      </c>
      <c r="CC33" s="76">
        <v>294</v>
      </c>
      <c r="CD33" s="14">
        <v>39999</v>
      </c>
      <c r="CE33" s="77">
        <v>12</v>
      </c>
      <c r="CF33" s="24">
        <v>127093924</v>
      </c>
      <c r="CG33" s="76">
        <v>1905197</v>
      </c>
      <c r="CH33" s="76">
        <v>125188727</v>
      </c>
      <c r="CI33" s="76">
        <v>247</v>
      </c>
      <c r="CJ33" s="14">
        <v>42236</v>
      </c>
      <c r="CK33" s="77">
        <v>13</v>
      </c>
      <c r="CL33" s="37">
        <v>105.5926398159954</v>
      </c>
      <c r="CM33" s="38">
        <v>105.60848148425974</v>
      </c>
      <c r="CO33" s="75">
        <v>154514290</v>
      </c>
      <c r="CP33" s="76">
        <v>2315524</v>
      </c>
      <c r="CQ33" s="76">
        <v>152198766</v>
      </c>
      <c r="CR33" s="76">
        <v>311.25</v>
      </c>
      <c r="CS33" s="76">
        <v>40749</v>
      </c>
      <c r="CT33" s="45">
        <v>14</v>
      </c>
      <c r="CU33" s="26">
        <v>102.71476104053237</v>
      </c>
      <c r="CV33" s="75">
        <v>156737794</v>
      </c>
      <c r="CW33" s="76">
        <v>2315524</v>
      </c>
      <c r="CX33" s="76">
        <v>154422270</v>
      </c>
      <c r="CY33" s="76">
        <v>311.25</v>
      </c>
      <c r="CZ33" s="76">
        <v>41345</v>
      </c>
      <c r="DA33" s="77">
        <v>16</v>
      </c>
      <c r="DB33" s="24">
        <v>164888727</v>
      </c>
      <c r="DC33" s="76">
        <v>3667467</v>
      </c>
      <c r="DD33" s="76">
        <v>161221260</v>
      </c>
      <c r="DE33" s="76">
        <v>262</v>
      </c>
      <c r="DF33" s="14">
        <v>51279</v>
      </c>
      <c r="DG33" s="77">
        <v>4</v>
      </c>
      <c r="DH33" s="37">
        <v>124.02708912806868</v>
      </c>
      <c r="DI33" s="38">
        <v>121.4106449474382</v>
      </c>
      <c r="DK33" s="24">
        <v>170354711</v>
      </c>
      <c r="DL33" s="76">
        <v>2315524</v>
      </c>
      <c r="DM33" s="76">
        <v>168039187</v>
      </c>
      <c r="DN33" s="76">
        <v>333</v>
      </c>
      <c r="DO33" s="14">
        <v>42052</v>
      </c>
      <c r="DP33" s="77">
        <v>20</v>
      </c>
      <c r="DQ33" s="26">
        <v>103.19762448158237</v>
      </c>
      <c r="DR33" s="24">
        <v>170354711</v>
      </c>
      <c r="DS33" s="76">
        <v>2315524</v>
      </c>
      <c r="DT33" s="76">
        <v>168039187</v>
      </c>
      <c r="DU33" s="76">
        <v>333</v>
      </c>
      <c r="DV33" s="14">
        <v>42052</v>
      </c>
      <c r="DW33" s="77">
        <v>22</v>
      </c>
      <c r="DX33" s="24">
        <v>172207648</v>
      </c>
      <c r="DY33" s="76">
        <v>3519596</v>
      </c>
      <c r="DZ33" s="76">
        <v>168688052</v>
      </c>
      <c r="EA33" s="76">
        <v>275.84000000000003</v>
      </c>
      <c r="EB33" s="14">
        <v>50962</v>
      </c>
      <c r="EC33" s="77">
        <v>12</v>
      </c>
      <c r="ED33" s="37">
        <v>121.18805288690193</v>
      </c>
      <c r="EE33" s="38">
        <v>99.38181321788646</v>
      </c>
      <c r="EG33" s="24">
        <v>171231350</v>
      </c>
      <c r="EH33" s="76">
        <v>2315524</v>
      </c>
      <c r="EI33" s="76">
        <v>168915826</v>
      </c>
      <c r="EJ33" s="76">
        <v>321</v>
      </c>
      <c r="EK33" s="14">
        <v>43851</v>
      </c>
      <c r="EL33" s="77">
        <v>20</v>
      </c>
      <c r="EM33" s="26">
        <v>104.27803671644631</v>
      </c>
      <c r="EN33" s="24">
        <v>171576450</v>
      </c>
      <c r="EO33" s="76">
        <v>2315524</v>
      </c>
      <c r="EP33" s="76">
        <v>169260926</v>
      </c>
      <c r="EQ33" s="76">
        <v>321</v>
      </c>
      <c r="ER33" s="14">
        <v>43941</v>
      </c>
      <c r="ES33" s="77">
        <v>21</v>
      </c>
      <c r="ET33" s="24">
        <v>174049732</v>
      </c>
      <c r="EU33" s="76">
        <v>2351777</v>
      </c>
      <c r="EV33" s="76">
        <v>171697955</v>
      </c>
      <c r="EW33" s="76">
        <v>282.48</v>
      </c>
      <c r="EX33" s="14">
        <v>50652</v>
      </c>
      <c r="EY33" s="27">
        <v>16</v>
      </c>
      <c r="EZ33" s="37">
        <v>115.27275209940602</v>
      </c>
      <c r="FA33" s="38">
        <v>99.391703622306821</v>
      </c>
      <c r="FC33" s="24">
        <v>179955356</v>
      </c>
      <c r="FD33" s="76">
        <v>2315524</v>
      </c>
      <c r="FE33" s="76">
        <v>177639832</v>
      </c>
      <c r="FF33" s="76">
        <v>296</v>
      </c>
      <c r="FG33" s="14">
        <v>50011</v>
      </c>
      <c r="FH33" s="77">
        <v>16</v>
      </c>
      <c r="FI33" s="26">
        <v>114.04757018083967</v>
      </c>
      <c r="FJ33" s="24">
        <v>180546956</v>
      </c>
      <c r="FK33" s="76">
        <v>7615524</v>
      </c>
      <c r="FL33" s="76">
        <v>172931432</v>
      </c>
      <c r="FM33" s="76">
        <v>296</v>
      </c>
      <c r="FN33" s="14">
        <v>48686</v>
      </c>
      <c r="FO33" s="77">
        <v>16</v>
      </c>
      <c r="FP33" s="24">
        <v>176572755</v>
      </c>
      <c r="FQ33" s="76">
        <v>9098829</v>
      </c>
      <c r="FR33" s="76">
        <v>167473926</v>
      </c>
      <c r="FS33" s="76">
        <v>259.97000000000003</v>
      </c>
      <c r="FT33" s="14">
        <v>53684</v>
      </c>
      <c r="FU33" s="77">
        <v>14</v>
      </c>
      <c r="FV33" s="37">
        <v>110.26578482520641</v>
      </c>
      <c r="FW33" s="38">
        <v>105.98594329937615</v>
      </c>
      <c r="FY33" s="75">
        <v>184105106</v>
      </c>
      <c r="FZ33" s="76">
        <v>2315524</v>
      </c>
      <c r="GA33" s="76">
        <v>181789582</v>
      </c>
      <c r="GB33" s="76">
        <v>279</v>
      </c>
      <c r="GC33" s="76">
        <v>54298</v>
      </c>
      <c r="GD33" s="77">
        <f t="shared" si="0"/>
        <v>9</v>
      </c>
      <c r="GE33" s="26"/>
      <c r="GF33" s="39">
        <v>184993586</v>
      </c>
      <c r="GG33" s="76">
        <v>2315524</v>
      </c>
      <c r="GH33" s="76">
        <v>182678062</v>
      </c>
      <c r="GI33" s="76">
        <v>279</v>
      </c>
      <c r="GJ33" s="14">
        <v>54563</v>
      </c>
      <c r="GK33" s="77">
        <f t="shared" si="1"/>
        <v>10</v>
      </c>
      <c r="GL33" s="39">
        <v>175771645</v>
      </c>
      <c r="GM33" s="76">
        <v>2727179</v>
      </c>
      <c r="GN33" s="295">
        <v>173044466</v>
      </c>
      <c r="GO33" s="76">
        <v>249.11</v>
      </c>
      <c r="GP33" s="14">
        <v>57888</v>
      </c>
      <c r="GQ33" s="77">
        <f t="shared" si="2"/>
        <v>11</v>
      </c>
      <c r="GR33" s="37">
        <v>124.02708912806868</v>
      </c>
      <c r="GS33" s="38">
        <v>121.4106449474382</v>
      </c>
      <c r="GU33" s="75">
        <v>200583936</v>
      </c>
      <c r="GV33" s="76">
        <v>2315524</v>
      </c>
      <c r="GW33" s="76">
        <v>198268412</v>
      </c>
      <c r="GX33" s="76">
        <v>284</v>
      </c>
      <c r="GY33" s="76">
        <v>58177</v>
      </c>
      <c r="GZ33" s="77">
        <f t="shared" si="3"/>
        <v>7</v>
      </c>
      <c r="HA33" s="26"/>
      <c r="HB33" s="39">
        <v>198057976</v>
      </c>
      <c r="HC33" s="76">
        <v>2115524</v>
      </c>
      <c r="HD33" s="76">
        <v>195942452</v>
      </c>
      <c r="HE33" s="76">
        <v>284</v>
      </c>
      <c r="HF33" s="14">
        <v>57495</v>
      </c>
      <c r="HG33" s="77">
        <f t="shared" si="4"/>
        <v>12</v>
      </c>
      <c r="HH33" s="39">
        <v>187500869</v>
      </c>
      <c r="HI33" s="76">
        <v>2854875</v>
      </c>
      <c r="HJ33" s="295">
        <v>184645994</v>
      </c>
      <c r="HK33" s="76">
        <v>254.63</v>
      </c>
      <c r="HL33" s="14">
        <v>60430</v>
      </c>
      <c r="HM33" s="77">
        <f t="shared" si="5"/>
        <v>14</v>
      </c>
      <c r="HN33" s="37"/>
      <c r="HO33" s="38"/>
    </row>
    <row r="34" spans="1:223" ht="18" customHeight="1">
      <c r="A34" s="65">
        <v>353</v>
      </c>
      <c r="B34" s="68" t="s">
        <v>48</v>
      </c>
      <c r="C34" s="33" t="s">
        <v>49</v>
      </c>
      <c r="D34" s="41"/>
      <c r="E34" s="75">
        <v>95299000</v>
      </c>
      <c r="F34" s="76">
        <v>1815000</v>
      </c>
      <c r="G34" s="76">
        <v>93484000</v>
      </c>
      <c r="H34" s="76">
        <v>235</v>
      </c>
      <c r="I34" s="76">
        <v>33150</v>
      </c>
      <c r="J34" s="77">
        <v>16</v>
      </c>
      <c r="K34" s="38">
        <v>98.050814871779707</v>
      </c>
      <c r="L34" s="75">
        <v>96309000</v>
      </c>
      <c r="M34" s="76">
        <v>1815000</v>
      </c>
      <c r="N34" s="76">
        <v>94494000</v>
      </c>
      <c r="O34" s="76">
        <v>238</v>
      </c>
      <c r="P34" s="76">
        <v>33086</v>
      </c>
      <c r="Q34" s="77">
        <v>18</v>
      </c>
      <c r="R34" s="75">
        <v>84258373</v>
      </c>
      <c r="S34" s="76">
        <v>1661035</v>
      </c>
      <c r="T34" s="76">
        <v>82597338</v>
      </c>
      <c r="U34" s="76">
        <v>215</v>
      </c>
      <c r="V34" s="76">
        <v>32014</v>
      </c>
      <c r="W34" s="77">
        <v>22</v>
      </c>
      <c r="X34" s="37">
        <v>96.759958895000906</v>
      </c>
      <c r="Y34" s="38">
        <v>95.044978178903307</v>
      </c>
      <c r="AA34" s="75">
        <v>103811760</v>
      </c>
      <c r="AB34" s="76">
        <v>1851300</v>
      </c>
      <c r="AC34" s="76">
        <v>101960460</v>
      </c>
      <c r="AD34" s="76">
        <v>251</v>
      </c>
      <c r="AE34" s="76">
        <v>33851</v>
      </c>
      <c r="AF34" s="77">
        <v>17</v>
      </c>
      <c r="AG34" s="38">
        <v>102.11463046757166</v>
      </c>
      <c r="AH34" s="75">
        <v>104375064</v>
      </c>
      <c r="AI34" s="76">
        <v>1851300</v>
      </c>
      <c r="AJ34" s="76">
        <v>102523764</v>
      </c>
      <c r="AK34" s="76">
        <v>251</v>
      </c>
      <c r="AL34" s="76">
        <v>34038</v>
      </c>
      <c r="AM34" s="77">
        <v>18</v>
      </c>
      <c r="AN34" s="75">
        <v>91542244</v>
      </c>
      <c r="AO34" s="76">
        <v>2313542</v>
      </c>
      <c r="AP34" s="76">
        <v>89228702</v>
      </c>
      <c r="AQ34" s="76">
        <v>222</v>
      </c>
      <c r="AR34" s="76">
        <v>33494</v>
      </c>
      <c r="AS34" s="77">
        <v>21</v>
      </c>
      <c r="AT34" s="37">
        <v>98.401786238909452</v>
      </c>
      <c r="AU34" s="38">
        <v>104.62297744736676</v>
      </c>
      <c r="AW34" s="75">
        <v>108838418</v>
      </c>
      <c r="AX34" s="76">
        <v>1944837</v>
      </c>
      <c r="AY34" s="76">
        <v>106893581</v>
      </c>
      <c r="AZ34" s="76">
        <v>251</v>
      </c>
      <c r="BA34" s="76">
        <v>35489</v>
      </c>
      <c r="BB34" s="27">
        <v>19</v>
      </c>
      <c r="BC34" s="38">
        <v>104.83885261882958</v>
      </c>
      <c r="BD34" s="24">
        <v>109345645</v>
      </c>
      <c r="BE34" s="76">
        <v>1944837</v>
      </c>
      <c r="BF34" s="76">
        <v>107400808</v>
      </c>
      <c r="BG34" s="76">
        <v>251</v>
      </c>
      <c r="BH34" s="14">
        <v>35658</v>
      </c>
      <c r="BI34" s="27">
        <v>20</v>
      </c>
      <c r="BJ34" s="24">
        <v>99001333</v>
      </c>
      <c r="BK34" s="76">
        <v>1948013</v>
      </c>
      <c r="BL34" s="76">
        <v>97053320</v>
      </c>
      <c r="BM34" s="76">
        <v>235</v>
      </c>
      <c r="BN34" s="14">
        <v>34416</v>
      </c>
      <c r="BO34" s="27">
        <v>22</v>
      </c>
      <c r="BP34" s="37">
        <v>96.516910651186265</v>
      </c>
      <c r="BQ34" s="38">
        <v>102.75273183256704</v>
      </c>
      <c r="BS34" s="24">
        <v>114633586</v>
      </c>
      <c r="BT34" s="76">
        <v>2003182</v>
      </c>
      <c r="BU34" s="76">
        <v>112630404</v>
      </c>
      <c r="BV34" s="76">
        <v>251</v>
      </c>
      <c r="BW34" s="14">
        <v>37394</v>
      </c>
      <c r="BX34" s="27">
        <v>18</v>
      </c>
      <c r="BY34" s="26">
        <v>105.36786046380568</v>
      </c>
      <c r="BZ34" s="24">
        <v>115519383</v>
      </c>
      <c r="CA34" s="76">
        <v>2003182</v>
      </c>
      <c r="CB34" s="76">
        <v>113516201</v>
      </c>
      <c r="CC34" s="76">
        <v>258</v>
      </c>
      <c r="CD34" s="14">
        <v>36665</v>
      </c>
      <c r="CE34" s="77">
        <v>20</v>
      </c>
      <c r="CF34" s="24">
        <v>103880085</v>
      </c>
      <c r="CG34" s="76">
        <v>4018046</v>
      </c>
      <c r="CH34" s="76">
        <v>99862039</v>
      </c>
      <c r="CI34" s="76">
        <v>225</v>
      </c>
      <c r="CJ34" s="14">
        <v>36986</v>
      </c>
      <c r="CK34" s="77">
        <v>21</v>
      </c>
      <c r="CL34" s="37">
        <v>100.87549434065184</v>
      </c>
      <c r="CM34" s="38">
        <v>107.4674569967457</v>
      </c>
      <c r="CO34" s="75">
        <v>125279930</v>
      </c>
      <c r="CP34" s="76">
        <v>2003182</v>
      </c>
      <c r="CQ34" s="76">
        <v>123276748</v>
      </c>
      <c r="CR34" s="76">
        <v>259</v>
      </c>
      <c r="CS34" s="76">
        <v>39664</v>
      </c>
      <c r="CT34" s="45">
        <v>18</v>
      </c>
      <c r="CU34" s="26">
        <v>106.07049259239449</v>
      </c>
      <c r="CV34" s="75">
        <v>127026535</v>
      </c>
      <c r="CW34" s="76">
        <v>2003182</v>
      </c>
      <c r="CX34" s="76">
        <v>125023353</v>
      </c>
      <c r="CY34" s="76">
        <v>261.5</v>
      </c>
      <c r="CZ34" s="76">
        <v>39842</v>
      </c>
      <c r="DA34" s="77">
        <v>22</v>
      </c>
      <c r="DB34" s="24">
        <v>108772625</v>
      </c>
      <c r="DC34" s="76">
        <v>2371920</v>
      </c>
      <c r="DD34" s="76">
        <v>106400705</v>
      </c>
      <c r="DE34" s="76">
        <v>225</v>
      </c>
      <c r="DF34" s="14">
        <v>39408</v>
      </c>
      <c r="DG34" s="77">
        <v>24</v>
      </c>
      <c r="DH34" s="37">
        <v>98.910697254153916</v>
      </c>
      <c r="DI34" s="38">
        <v>106.54842372789703</v>
      </c>
      <c r="DK34" s="24">
        <v>136234761</v>
      </c>
      <c r="DL34" s="76">
        <v>2003182</v>
      </c>
      <c r="DM34" s="76">
        <v>134231579</v>
      </c>
      <c r="DN34" s="76">
        <v>262</v>
      </c>
      <c r="DO34" s="14">
        <v>42695</v>
      </c>
      <c r="DP34" s="77">
        <v>18</v>
      </c>
      <c r="DQ34" s="26">
        <v>107.64169019766034</v>
      </c>
      <c r="DR34" s="24">
        <v>136234761</v>
      </c>
      <c r="DS34" s="76">
        <v>2003182</v>
      </c>
      <c r="DT34" s="76">
        <v>134231579</v>
      </c>
      <c r="DU34" s="76">
        <v>262</v>
      </c>
      <c r="DV34" s="14">
        <v>42695</v>
      </c>
      <c r="DW34" s="77">
        <v>19</v>
      </c>
      <c r="DX34" s="24">
        <v>121413719</v>
      </c>
      <c r="DY34" s="76">
        <v>2843349</v>
      </c>
      <c r="DZ34" s="76">
        <v>118570370</v>
      </c>
      <c r="EA34" s="76">
        <v>232.5</v>
      </c>
      <c r="EB34" s="14">
        <v>42498</v>
      </c>
      <c r="EC34" s="77">
        <v>25</v>
      </c>
      <c r="ED34" s="37">
        <v>99.538587656634263</v>
      </c>
      <c r="EE34" s="38">
        <v>107.84104750304506</v>
      </c>
      <c r="EG34" s="24">
        <v>137633677</v>
      </c>
      <c r="EH34" s="76">
        <v>2003182</v>
      </c>
      <c r="EI34" s="76">
        <v>135630495</v>
      </c>
      <c r="EJ34" s="76">
        <v>257</v>
      </c>
      <c r="EK34" s="14">
        <v>43979</v>
      </c>
      <c r="EL34" s="77">
        <v>19</v>
      </c>
      <c r="EM34" s="26">
        <v>103.00737791310456</v>
      </c>
      <c r="EN34" s="24">
        <v>137633677</v>
      </c>
      <c r="EO34" s="76">
        <v>2003182</v>
      </c>
      <c r="EP34" s="76">
        <v>135630495</v>
      </c>
      <c r="EQ34" s="76">
        <v>257</v>
      </c>
      <c r="ER34" s="14">
        <v>43979</v>
      </c>
      <c r="ES34" s="77">
        <v>20</v>
      </c>
      <c r="ET34" s="24">
        <v>130984427</v>
      </c>
      <c r="EU34" s="76">
        <v>2346411</v>
      </c>
      <c r="EV34" s="76">
        <v>128638016</v>
      </c>
      <c r="EW34" s="76">
        <v>235.77</v>
      </c>
      <c r="EX34" s="14">
        <v>45467</v>
      </c>
      <c r="EY34" s="27">
        <v>24</v>
      </c>
      <c r="EZ34" s="37">
        <v>103.38343300211466</v>
      </c>
      <c r="FA34" s="38">
        <v>106.98621111581721</v>
      </c>
      <c r="FC34" s="24">
        <v>144760277</v>
      </c>
      <c r="FD34" s="76">
        <v>2003182</v>
      </c>
      <c r="FE34" s="76">
        <v>142757095</v>
      </c>
      <c r="FF34" s="76">
        <v>251</v>
      </c>
      <c r="FG34" s="14">
        <v>47396</v>
      </c>
      <c r="FH34" s="77">
        <v>18</v>
      </c>
      <c r="FI34" s="26">
        <v>107.76961731735601</v>
      </c>
      <c r="FJ34" s="24">
        <v>144760277</v>
      </c>
      <c r="FK34" s="76">
        <v>2003182</v>
      </c>
      <c r="FL34" s="76">
        <v>142757095</v>
      </c>
      <c r="FM34" s="76">
        <v>251</v>
      </c>
      <c r="FN34" s="14">
        <v>47396</v>
      </c>
      <c r="FO34" s="77">
        <v>17</v>
      </c>
      <c r="FP34" s="24">
        <v>138875984</v>
      </c>
      <c r="FQ34" s="76">
        <v>1552087</v>
      </c>
      <c r="FR34" s="76">
        <v>137323897</v>
      </c>
      <c r="FS34" s="76">
        <v>233.55</v>
      </c>
      <c r="FT34" s="14">
        <v>48999</v>
      </c>
      <c r="FU34" s="77">
        <v>23</v>
      </c>
      <c r="FV34" s="37">
        <v>103.38214195290743</v>
      </c>
      <c r="FW34" s="38">
        <v>107.76827149361074</v>
      </c>
      <c r="FY34" s="75">
        <v>149999083</v>
      </c>
      <c r="FZ34" s="76">
        <v>2003182</v>
      </c>
      <c r="GA34" s="76">
        <v>147995901</v>
      </c>
      <c r="GB34" s="76">
        <v>241</v>
      </c>
      <c r="GC34" s="76">
        <v>51174</v>
      </c>
      <c r="GD34" s="77">
        <f t="shared" si="0"/>
        <v>18</v>
      </c>
      <c r="GE34" s="26"/>
      <c r="GF34" s="39">
        <v>165377206</v>
      </c>
      <c r="GG34" s="76">
        <v>2303182</v>
      </c>
      <c r="GH34" s="76">
        <v>163074024</v>
      </c>
      <c r="GI34" s="76">
        <v>257</v>
      </c>
      <c r="GJ34" s="14">
        <v>52877</v>
      </c>
      <c r="GK34" s="77">
        <f t="shared" si="1"/>
        <v>17</v>
      </c>
      <c r="GL34" s="39">
        <v>171563955</v>
      </c>
      <c r="GM34" s="76">
        <v>2918870</v>
      </c>
      <c r="GN34" s="295">
        <v>168645085</v>
      </c>
      <c r="GO34" s="76">
        <v>250.21</v>
      </c>
      <c r="GP34" s="14">
        <v>56168</v>
      </c>
      <c r="GQ34" s="77">
        <f t="shared" si="2"/>
        <v>16</v>
      </c>
      <c r="GR34" s="37">
        <v>98.910697254153916</v>
      </c>
      <c r="GS34" s="38">
        <v>106.54842372789703</v>
      </c>
      <c r="GU34" s="75">
        <v>179277163</v>
      </c>
      <c r="GV34" s="76">
        <v>2303182</v>
      </c>
      <c r="GW34" s="76">
        <v>176973981</v>
      </c>
      <c r="GX34" s="76">
        <v>262</v>
      </c>
      <c r="GY34" s="76">
        <v>56289</v>
      </c>
      <c r="GZ34" s="77">
        <f t="shared" si="3"/>
        <v>11</v>
      </c>
      <c r="HA34" s="26"/>
      <c r="HB34" s="39">
        <v>181206803</v>
      </c>
      <c r="HC34" s="76">
        <v>3235382</v>
      </c>
      <c r="HD34" s="76">
        <v>177971421</v>
      </c>
      <c r="HE34" s="76">
        <v>262</v>
      </c>
      <c r="HF34" s="14">
        <v>56607</v>
      </c>
      <c r="HG34" s="77">
        <f t="shared" si="4"/>
        <v>15</v>
      </c>
      <c r="HH34" s="39">
        <v>178842968</v>
      </c>
      <c r="HI34" s="76">
        <v>2897179</v>
      </c>
      <c r="HJ34" s="295">
        <v>175945789</v>
      </c>
      <c r="HK34" s="76">
        <v>246.5</v>
      </c>
      <c r="HL34" s="14">
        <v>59481</v>
      </c>
      <c r="HM34" s="77">
        <f t="shared" si="5"/>
        <v>15</v>
      </c>
      <c r="HN34" s="37"/>
      <c r="HO34" s="38"/>
    </row>
    <row r="35" spans="1:223" ht="18" customHeight="1">
      <c r="A35" s="65">
        <v>355</v>
      </c>
      <c r="B35" s="68" t="s">
        <v>100</v>
      </c>
      <c r="C35" s="33" t="s">
        <v>202</v>
      </c>
      <c r="D35" s="41"/>
      <c r="E35" s="75">
        <v>75626000</v>
      </c>
      <c r="F35" s="76">
        <v>3947000</v>
      </c>
      <c r="G35" s="76">
        <v>71679000</v>
      </c>
      <c r="H35" s="76">
        <v>260</v>
      </c>
      <c r="I35" s="76">
        <v>22974</v>
      </c>
      <c r="J35" s="77">
        <v>36</v>
      </c>
      <c r="K35" s="38">
        <v>94.761590496617714</v>
      </c>
      <c r="L35" s="75">
        <v>77493820</v>
      </c>
      <c r="M35" s="76">
        <v>4140220</v>
      </c>
      <c r="N35" s="76">
        <v>73353600</v>
      </c>
      <c r="O35" s="76">
        <v>260</v>
      </c>
      <c r="P35" s="76">
        <v>23511</v>
      </c>
      <c r="Q35" s="77">
        <v>36</v>
      </c>
      <c r="R35" s="75">
        <v>78060428</v>
      </c>
      <c r="S35" s="76">
        <v>4061981</v>
      </c>
      <c r="T35" s="76">
        <v>73998447</v>
      </c>
      <c r="U35" s="76">
        <v>237</v>
      </c>
      <c r="V35" s="76">
        <v>26019</v>
      </c>
      <c r="W35" s="77">
        <v>35</v>
      </c>
      <c r="X35" s="37">
        <v>110.66734719918337</v>
      </c>
      <c r="Y35" s="38">
        <v>101.47815912636506</v>
      </c>
      <c r="AA35" s="75">
        <v>78695395</v>
      </c>
      <c r="AB35" s="76">
        <v>4040795</v>
      </c>
      <c r="AC35" s="76">
        <v>74654600</v>
      </c>
      <c r="AD35" s="76">
        <v>259</v>
      </c>
      <c r="AE35" s="76">
        <v>24020</v>
      </c>
      <c r="AF35" s="77">
        <v>36</v>
      </c>
      <c r="AG35" s="38">
        <v>104.55297292591625</v>
      </c>
      <c r="AH35" s="75">
        <v>79231280</v>
      </c>
      <c r="AI35" s="76">
        <v>4141195</v>
      </c>
      <c r="AJ35" s="76">
        <v>75090085</v>
      </c>
      <c r="AK35" s="76">
        <v>259</v>
      </c>
      <c r="AL35" s="76">
        <v>24160</v>
      </c>
      <c r="AM35" s="77">
        <v>36</v>
      </c>
      <c r="AN35" s="75">
        <v>78717973</v>
      </c>
      <c r="AO35" s="76">
        <v>3965224</v>
      </c>
      <c r="AP35" s="76">
        <v>74752749</v>
      </c>
      <c r="AQ35" s="76">
        <v>236</v>
      </c>
      <c r="AR35" s="76">
        <v>26396</v>
      </c>
      <c r="AS35" s="77">
        <v>36</v>
      </c>
      <c r="AT35" s="37">
        <v>109.25496688741723</v>
      </c>
      <c r="AU35" s="38">
        <v>101.44894115838426</v>
      </c>
      <c r="AW35" s="75">
        <v>86926718</v>
      </c>
      <c r="AX35" s="76">
        <v>2857407</v>
      </c>
      <c r="AY35" s="76">
        <v>84069311</v>
      </c>
      <c r="AZ35" s="76">
        <v>287</v>
      </c>
      <c r="BA35" s="76">
        <v>24410</v>
      </c>
      <c r="BB35" s="27">
        <v>37</v>
      </c>
      <c r="BC35" s="38">
        <v>101.62364696086594</v>
      </c>
      <c r="BD35" s="24">
        <v>87505482</v>
      </c>
      <c r="BE35" s="76">
        <v>3015824</v>
      </c>
      <c r="BF35" s="76">
        <v>84489658</v>
      </c>
      <c r="BG35" s="76">
        <v>287</v>
      </c>
      <c r="BH35" s="14">
        <v>24532</v>
      </c>
      <c r="BI35" s="27">
        <v>37</v>
      </c>
      <c r="BJ35" s="24">
        <v>88595156</v>
      </c>
      <c r="BK35" s="76">
        <v>5512875</v>
      </c>
      <c r="BL35" s="76">
        <v>83082281</v>
      </c>
      <c r="BM35" s="76">
        <v>255</v>
      </c>
      <c r="BN35" s="14">
        <v>27151</v>
      </c>
      <c r="BO35" s="27">
        <v>36</v>
      </c>
      <c r="BP35" s="37">
        <v>110.67585194847547</v>
      </c>
      <c r="BQ35" s="38">
        <v>102.86028186088801</v>
      </c>
      <c r="BS35" s="24">
        <v>90399857</v>
      </c>
      <c r="BT35" s="76">
        <v>3207452</v>
      </c>
      <c r="BU35" s="76">
        <v>87192405</v>
      </c>
      <c r="BV35" s="76">
        <v>287</v>
      </c>
      <c r="BW35" s="14">
        <v>25317</v>
      </c>
      <c r="BX35" s="27">
        <v>37</v>
      </c>
      <c r="BY35" s="26">
        <v>103.7156902908644</v>
      </c>
      <c r="BZ35" s="24">
        <v>92021015</v>
      </c>
      <c r="CA35" s="76">
        <v>3283452</v>
      </c>
      <c r="CB35" s="76">
        <v>88737563</v>
      </c>
      <c r="CC35" s="76">
        <v>287</v>
      </c>
      <c r="CD35" s="14">
        <v>25766</v>
      </c>
      <c r="CE35" s="77">
        <v>37</v>
      </c>
      <c r="CF35" s="24">
        <v>92952869</v>
      </c>
      <c r="CG35" s="76">
        <v>3191180</v>
      </c>
      <c r="CH35" s="76">
        <v>89761689</v>
      </c>
      <c r="CI35" s="76">
        <v>261</v>
      </c>
      <c r="CJ35" s="14">
        <v>28660</v>
      </c>
      <c r="CK35" s="77">
        <v>36</v>
      </c>
      <c r="CL35" s="37">
        <v>111.23185593417682</v>
      </c>
      <c r="CM35" s="38">
        <v>105.55780634230783</v>
      </c>
      <c r="CO35" s="75">
        <v>95048798</v>
      </c>
      <c r="CP35" s="76">
        <v>3392252</v>
      </c>
      <c r="CQ35" s="76">
        <v>91656546</v>
      </c>
      <c r="CR35" s="76">
        <v>287</v>
      </c>
      <c r="CS35" s="76">
        <v>26613</v>
      </c>
      <c r="CT35" s="45">
        <v>38</v>
      </c>
      <c r="CU35" s="26">
        <v>105.11908993956629</v>
      </c>
      <c r="CV35" s="75">
        <v>98558946</v>
      </c>
      <c r="CW35" s="76">
        <v>3532252</v>
      </c>
      <c r="CX35" s="76">
        <v>95026694</v>
      </c>
      <c r="CY35" s="76">
        <v>287</v>
      </c>
      <c r="CZ35" s="76">
        <v>27592</v>
      </c>
      <c r="DA35" s="77">
        <v>39</v>
      </c>
      <c r="DB35" s="24">
        <v>98691673</v>
      </c>
      <c r="DC35" s="76">
        <v>3354680</v>
      </c>
      <c r="DD35" s="76">
        <v>95336993</v>
      </c>
      <c r="DE35" s="76">
        <v>264</v>
      </c>
      <c r="DF35" s="14">
        <v>30094</v>
      </c>
      <c r="DG35" s="77">
        <v>39</v>
      </c>
      <c r="DH35" s="37">
        <v>109.06784575239199</v>
      </c>
      <c r="DI35" s="38">
        <v>105.00348918353106</v>
      </c>
      <c r="DK35" s="24">
        <v>103378562</v>
      </c>
      <c r="DL35" s="76">
        <v>3472927</v>
      </c>
      <c r="DM35" s="76">
        <v>99905635</v>
      </c>
      <c r="DN35" s="76">
        <v>287</v>
      </c>
      <c r="DO35" s="14">
        <v>29009</v>
      </c>
      <c r="DP35" s="77">
        <v>40</v>
      </c>
      <c r="DQ35" s="26">
        <v>109.00311877653779</v>
      </c>
      <c r="DR35" s="24">
        <v>107253731</v>
      </c>
      <c r="DS35" s="76">
        <v>4212927</v>
      </c>
      <c r="DT35" s="76">
        <v>103040804</v>
      </c>
      <c r="DU35" s="76">
        <v>287</v>
      </c>
      <c r="DV35" s="14">
        <v>29919</v>
      </c>
      <c r="DW35" s="77">
        <v>40</v>
      </c>
      <c r="DX35" s="24">
        <v>107877448</v>
      </c>
      <c r="DY35" s="76">
        <v>4637640</v>
      </c>
      <c r="DZ35" s="76">
        <v>103239808</v>
      </c>
      <c r="EA35" s="76">
        <v>246.11</v>
      </c>
      <c r="EB35" s="14">
        <v>34957</v>
      </c>
      <c r="EC35" s="77">
        <v>40</v>
      </c>
      <c r="ED35" s="37">
        <v>116.83879808817139</v>
      </c>
      <c r="EE35" s="38">
        <v>116.15936731574401</v>
      </c>
      <c r="EG35" s="24">
        <v>107467192</v>
      </c>
      <c r="EH35" s="76">
        <v>4094252</v>
      </c>
      <c r="EI35" s="76">
        <v>103372940</v>
      </c>
      <c r="EJ35" s="76">
        <v>278</v>
      </c>
      <c r="EK35" s="14">
        <v>30987</v>
      </c>
      <c r="EL35" s="77">
        <v>41</v>
      </c>
      <c r="EM35" s="26">
        <v>106.81857354614085</v>
      </c>
      <c r="EN35" s="24">
        <v>111539858</v>
      </c>
      <c r="EO35" s="76">
        <v>5726252</v>
      </c>
      <c r="EP35" s="76">
        <v>105813606</v>
      </c>
      <c r="EQ35" s="76">
        <v>278</v>
      </c>
      <c r="ER35" s="14">
        <v>31719</v>
      </c>
      <c r="ES35" s="77">
        <v>41</v>
      </c>
      <c r="ET35" s="24">
        <v>111785466</v>
      </c>
      <c r="EU35" s="76">
        <v>5065824</v>
      </c>
      <c r="EV35" s="76">
        <v>106719642</v>
      </c>
      <c r="EW35" s="76">
        <v>249.62</v>
      </c>
      <c r="EX35" s="14">
        <v>35627</v>
      </c>
      <c r="EY35" s="27">
        <v>41</v>
      </c>
      <c r="EZ35" s="37">
        <v>112.32069106844477</v>
      </c>
      <c r="FA35" s="38">
        <v>101.91664044397402</v>
      </c>
      <c r="FC35" s="24">
        <v>112277020</v>
      </c>
      <c r="FD35" s="76">
        <v>4136652</v>
      </c>
      <c r="FE35" s="76">
        <v>108140368</v>
      </c>
      <c r="FF35" s="76">
        <v>265.58</v>
      </c>
      <c r="FG35" s="14">
        <v>33932</v>
      </c>
      <c r="FH35" s="77">
        <v>41</v>
      </c>
      <c r="FI35" s="26">
        <v>109.50398554232422</v>
      </c>
      <c r="FJ35" s="24">
        <v>117611544</v>
      </c>
      <c r="FK35" s="76">
        <v>5655652</v>
      </c>
      <c r="FL35" s="76">
        <v>111955892</v>
      </c>
      <c r="FM35" s="76">
        <v>265.58</v>
      </c>
      <c r="FN35" s="14">
        <v>35129</v>
      </c>
      <c r="FO35" s="77">
        <v>41</v>
      </c>
      <c r="FP35" s="24">
        <v>116343745</v>
      </c>
      <c r="FQ35" s="76">
        <v>5214938</v>
      </c>
      <c r="FR35" s="76">
        <v>111128807</v>
      </c>
      <c r="FS35" s="76">
        <v>248.34</v>
      </c>
      <c r="FT35" s="14">
        <v>37291</v>
      </c>
      <c r="FU35" s="77">
        <v>41</v>
      </c>
      <c r="FV35" s="37">
        <v>106.15445927865865</v>
      </c>
      <c r="FW35" s="38">
        <v>104.67061498301851</v>
      </c>
      <c r="FY35" s="75">
        <v>116606233</v>
      </c>
      <c r="FZ35" s="76">
        <v>4511852</v>
      </c>
      <c r="GA35" s="76">
        <v>112094381</v>
      </c>
      <c r="GB35" s="76">
        <v>265</v>
      </c>
      <c r="GC35" s="76">
        <v>35250</v>
      </c>
      <c r="GD35" s="77">
        <f t="shared" si="0"/>
        <v>43</v>
      </c>
      <c r="GE35" s="26"/>
      <c r="GF35" s="39">
        <v>125957294</v>
      </c>
      <c r="GG35" s="76">
        <v>6845692</v>
      </c>
      <c r="GH35" s="76">
        <v>119111602</v>
      </c>
      <c r="GI35" s="76">
        <v>266</v>
      </c>
      <c r="GJ35" s="14">
        <v>37316</v>
      </c>
      <c r="GK35" s="77">
        <f t="shared" si="1"/>
        <v>43</v>
      </c>
      <c r="GL35" s="39">
        <v>126227464.75999999</v>
      </c>
      <c r="GM35" s="76">
        <v>7337572</v>
      </c>
      <c r="GN35" s="295">
        <v>118889892.75999999</v>
      </c>
      <c r="GO35" s="76">
        <v>239.33</v>
      </c>
      <c r="GP35" s="14">
        <v>41397</v>
      </c>
      <c r="GQ35" s="77">
        <f t="shared" si="2"/>
        <v>42</v>
      </c>
      <c r="GR35" s="37">
        <v>109.06784575239199</v>
      </c>
      <c r="GS35" s="38">
        <v>105.00348918353106</v>
      </c>
      <c r="GU35" s="75">
        <v>126618333</v>
      </c>
      <c r="GV35" s="76">
        <v>5008652</v>
      </c>
      <c r="GW35" s="76">
        <v>121609681</v>
      </c>
      <c r="GX35" s="76">
        <v>267</v>
      </c>
      <c r="GY35" s="76">
        <v>37956</v>
      </c>
      <c r="GZ35" s="77">
        <f t="shared" si="3"/>
        <v>42</v>
      </c>
      <c r="HA35" s="26"/>
      <c r="HB35" s="39">
        <v>131464333</v>
      </c>
      <c r="HC35" s="76">
        <v>5904652</v>
      </c>
      <c r="HD35" s="76">
        <v>125559681</v>
      </c>
      <c r="HE35" s="76">
        <v>267</v>
      </c>
      <c r="HF35" s="14">
        <v>39188</v>
      </c>
      <c r="HG35" s="77">
        <f t="shared" si="4"/>
        <v>43</v>
      </c>
      <c r="HH35" s="39">
        <v>129797115</v>
      </c>
      <c r="HI35" s="76">
        <v>5443802</v>
      </c>
      <c r="HJ35" s="295">
        <v>124353313</v>
      </c>
      <c r="HK35" s="76">
        <v>241.95</v>
      </c>
      <c r="HL35" s="14">
        <v>42830</v>
      </c>
      <c r="HM35" s="77">
        <f t="shared" si="5"/>
        <v>43</v>
      </c>
      <c r="HN35" s="37"/>
      <c r="HO35" s="38"/>
    </row>
    <row r="36" spans="1:223" ht="18" customHeight="1">
      <c r="A36" s="65">
        <v>358</v>
      </c>
      <c r="B36" s="68" t="s">
        <v>50</v>
      </c>
      <c r="C36" s="33" t="s">
        <v>51</v>
      </c>
      <c r="D36" s="41"/>
      <c r="E36" s="75">
        <v>77862000</v>
      </c>
      <c r="F36" s="76">
        <v>25820000</v>
      </c>
      <c r="G36" s="76">
        <v>52042000</v>
      </c>
      <c r="H36" s="76">
        <v>125</v>
      </c>
      <c r="I36" s="76">
        <v>34695</v>
      </c>
      <c r="J36" s="77">
        <v>10</v>
      </c>
      <c r="K36" s="38">
        <v>103.7995512341062</v>
      </c>
      <c r="L36" s="75">
        <v>80997000</v>
      </c>
      <c r="M36" s="76">
        <v>28955000</v>
      </c>
      <c r="N36" s="76">
        <v>52042000</v>
      </c>
      <c r="O36" s="76">
        <v>125</v>
      </c>
      <c r="P36" s="76">
        <v>34695</v>
      </c>
      <c r="Q36" s="77">
        <v>11</v>
      </c>
      <c r="R36" s="75">
        <v>75895433</v>
      </c>
      <c r="S36" s="76">
        <v>23579098</v>
      </c>
      <c r="T36" s="76">
        <v>52316335</v>
      </c>
      <c r="U36" s="76">
        <v>120</v>
      </c>
      <c r="V36" s="76">
        <v>36331</v>
      </c>
      <c r="W36" s="77">
        <v>15</v>
      </c>
      <c r="X36" s="37">
        <v>104.71537685545466</v>
      </c>
      <c r="Y36" s="38">
        <v>104.13907759337289</v>
      </c>
      <c r="AA36" s="75">
        <v>78166040</v>
      </c>
      <c r="AB36" s="76">
        <v>24017200</v>
      </c>
      <c r="AC36" s="76">
        <v>54148840</v>
      </c>
      <c r="AD36" s="76">
        <v>127</v>
      </c>
      <c r="AE36" s="76">
        <v>35531</v>
      </c>
      <c r="AF36" s="77">
        <v>11</v>
      </c>
      <c r="AG36" s="38">
        <v>102.40956910217611</v>
      </c>
      <c r="AH36" s="75">
        <v>78481908</v>
      </c>
      <c r="AI36" s="76">
        <v>24017200</v>
      </c>
      <c r="AJ36" s="76">
        <v>54464708</v>
      </c>
      <c r="AK36" s="76">
        <v>127</v>
      </c>
      <c r="AL36" s="76">
        <v>35738</v>
      </c>
      <c r="AM36" s="77">
        <v>11</v>
      </c>
      <c r="AN36" s="75">
        <v>79943097</v>
      </c>
      <c r="AO36" s="76">
        <v>24795995</v>
      </c>
      <c r="AP36" s="76">
        <v>55147102</v>
      </c>
      <c r="AQ36" s="76">
        <v>123</v>
      </c>
      <c r="AR36" s="76">
        <v>37363</v>
      </c>
      <c r="AS36" s="77">
        <v>14</v>
      </c>
      <c r="AT36" s="37">
        <v>104.54698080474564</v>
      </c>
      <c r="AU36" s="38">
        <v>102.84054939308029</v>
      </c>
      <c r="AW36" s="75">
        <v>88042238</v>
      </c>
      <c r="AX36" s="76">
        <v>31157528</v>
      </c>
      <c r="AY36" s="76">
        <v>56884710</v>
      </c>
      <c r="AZ36" s="76">
        <v>127</v>
      </c>
      <c r="BA36" s="76">
        <v>37326</v>
      </c>
      <c r="BB36" s="27">
        <v>13</v>
      </c>
      <c r="BC36" s="38">
        <v>105.0519264867299</v>
      </c>
      <c r="BD36" s="24">
        <v>88042238</v>
      </c>
      <c r="BE36" s="76">
        <v>31157528</v>
      </c>
      <c r="BF36" s="76">
        <v>56884710</v>
      </c>
      <c r="BG36" s="76">
        <v>127</v>
      </c>
      <c r="BH36" s="14">
        <v>37326</v>
      </c>
      <c r="BI36" s="27">
        <v>15</v>
      </c>
      <c r="BJ36" s="24">
        <v>87980013</v>
      </c>
      <c r="BK36" s="76">
        <v>30350923</v>
      </c>
      <c r="BL36" s="76">
        <v>57629090</v>
      </c>
      <c r="BM36" s="76">
        <v>122</v>
      </c>
      <c r="BN36" s="14">
        <v>39364</v>
      </c>
      <c r="BO36" s="27">
        <v>15</v>
      </c>
      <c r="BP36" s="37">
        <v>105.46000107163907</v>
      </c>
      <c r="BQ36" s="38">
        <v>105.35556566656854</v>
      </c>
      <c r="BS36" s="24">
        <v>89915851</v>
      </c>
      <c r="BT36" s="76">
        <v>31324600</v>
      </c>
      <c r="BU36" s="76">
        <v>58591251</v>
      </c>
      <c r="BV36" s="76">
        <v>127</v>
      </c>
      <c r="BW36" s="14">
        <v>38446</v>
      </c>
      <c r="BX36" s="27">
        <v>16</v>
      </c>
      <c r="BY36" s="26">
        <v>103.00058940148958</v>
      </c>
      <c r="BZ36" s="24">
        <v>89915851</v>
      </c>
      <c r="CA36" s="76">
        <v>31324600</v>
      </c>
      <c r="CB36" s="76">
        <v>58591251</v>
      </c>
      <c r="CC36" s="76">
        <v>127</v>
      </c>
      <c r="CD36" s="14">
        <v>38446</v>
      </c>
      <c r="CE36" s="77">
        <v>17</v>
      </c>
      <c r="CF36" s="24">
        <v>90708440</v>
      </c>
      <c r="CG36" s="76">
        <v>30867429</v>
      </c>
      <c r="CH36" s="76">
        <v>59841011</v>
      </c>
      <c r="CI36" s="76">
        <v>123</v>
      </c>
      <c r="CJ36" s="14">
        <v>40543</v>
      </c>
      <c r="CK36" s="77">
        <v>17</v>
      </c>
      <c r="CL36" s="37">
        <v>105.45440357904594</v>
      </c>
      <c r="CM36" s="38">
        <v>102.99512244690581</v>
      </c>
      <c r="CO36" s="75">
        <v>93927814</v>
      </c>
      <c r="CP36" s="76">
        <v>32407000</v>
      </c>
      <c r="CQ36" s="76">
        <v>61520814</v>
      </c>
      <c r="CR36" s="76">
        <v>127</v>
      </c>
      <c r="CS36" s="76">
        <v>40368</v>
      </c>
      <c r="CT36" s="45">
        <v>16</v>
      </c>
      <c r="CU36" s="26">
        <v>104.99921968475263</v>
      </c>
      <c r="CV36" s="75">
        <v>93927814</v>
      </c>
      <c r="CW36" s="76">
        <v>32407000</v>
      </c>
      <c r="CX36" s="76">
        <v>61520814</v>
      </c>
      <c r="CY36" s="76">
        <v>127</v>
      </c>
      <c r="CZ36" s="76">
        <v>40368</v>
      </c>
      <c r="DA36" s="77">
        <v>20</v>
      </c>
      <c r="DB36" s="24">
        <v>95208437</v>
      </c>
      <c r="DC36" s="76">
        <v>31698959</v>
      </c>
      <c r="DD36" s="76">
        <v>63509478</v>
      </c>
      <c r="DE36" s="76">
        <v>124</v>
      </c>
      <c r="DF36" s="14">
        <v>42681</v>
      </c>
      <c r="DG36" s="77">
        <v>21</v>
      </c>
      <c r="DH36" s="37">
        <v>105.72978596908442</v>
      </c>
      <c r="DI36" s="38">
        <v>105.27341341291962</v>
      </c>
      <c r="DK36" s="24">
        <v>100983887</v>
      </c>
      <c r="DL36" s="76">
        <v>33926200</v>
      </c>
      <c r="DM36" s="76">
        <v>67057687</v>
      </c>
      <c r="DN36" s="76">
        <v>127</v>
      </c>
      <c r="DO36" s="14">
        <v>44001</v>
      </c>
      <c r="DP36" s="77">
        <v>16</v>
      </c>
      <c r="DQ36" s="26">
        <v>108.99970273483947</v>
      </c>
      <c r="DR36" s="24">
        <v>100983887</v>
      </c>
      <c r="DS36" s="76">
        <v>33926200</v>
      </c>
      <c r="DT36" s="76">
        <v>67057687</v>
      </c>
      <c r="DU36" s="76">
        <v>127</v>
      </c>
      <c r="DV36" s="14">
        <v>44001</v>
      </c>
      <c r="DW36" s="77">
        <v>17</v>
      </c>
      <c r="DX36" s="24">
        <v>102224777</v>
      </c>
      <c r="DY36" s="76">
        <v>33517550</v>
      </c>
      <c r="DZ36" s="76">
        <v>68707227</v>
      </c>
      <c r="EA36" s="76">
        <v>125.97</v>
      </c>
      <c r="EB36" s="14">
        <v>45452</v>
      </c>
      <c r="EC36" s="77">
        <v>23</v>
      </c>
      <c r="ED36" s="37">
        <v>103.29765232608349</v>
      </c>
      <c r="EE36" s="38">
        <v>106.49235022609591</v>
      </c>
      <c r="EG36" s="24">
        <v>110013762</v>
      </c>
      <c r="EH36" s="76">
        <v>36759400</v>
      </c>
      <c r="EI36" s="76">
        <v>73254362</v>
      </c>
      <c r="EJ36" s="76">
        <v>129</v>
      </c>
      <c r="EK36" s="14">
        <v>47322</v>
      </c>
      <c r="EL36" s="77">
        <v>14</v>
      </c>
      <c r="EM36" s="26">
        <v>107.54755573736961</v>
      </c>
      <c r="EN36" s="24">
        <v>110956262</v>
      </c>
      <c r="EO36" s="76">
        <v>37701900</v>
      </c>
      <c r="EP36" s="76">
        <v>73254362</v>
      </c>
      <c r="EQ36" s="76">
        <v>129</v>
      </c>
      <c r="ER36" s="14">
        <v>47322</v>
      </c>
      <c r="ES36" s="77">
        <v>15</v>
      </c>
      <c r="ET36" s="24">
        <v>108872720</v>
      </c>
      <c r="EU36" s="76">
        <v>35546982</v>
      </c>
      <c r="EV36" s="76">
        <v>73325738</v>
      </c>
      <c r="EW36" s="76">
        <v>125.96</v>
      </c>
      <c r="EX36" s="14">
        <v>48511</v>
      </c>
      <c r="EY36" s="27">
        <v>21</v>
      </c>
      <c r="EZ36" s="37">
        <v>102.51257343307552</v>
      </c>
      <c r="FA36" s="38">
        <v>106.73017688990582</v>
      </c>
      <c r="FB36" s="9"/>
      <c r="FC36" s="24">
        <v>116000562</v>
      </c>
      <c r="FD36" s="76">
        <v>40424200</v>
      </c>
      <c r="FE36" s="76">
        <v>75576362</v>
      </c>
      <c r="FF36" s="76">
        <v>129</v>
      </c>
      <c r="FG36" s="14">
        <v>48822</v>
      </c>
      <c r="FH36" s="77">
        <v>17</v>
      </c>
      <c r="FI36" s="26">
        <v>103.16977304425004</v>
      </c>
      <c r="FJ36" s="24">
        <v>116000562</v>
      </c>
      <c r="FK36" s="76">
        <v>40424200</v>
      </c>
      <c r="FL36" s="76">
        <v>75576362</v>
      </c>
      <c r="FM36" s="76">
        <v>129</v>
      </c>
      <c r="FN36" s="14">
        <v>48822</v>
      </c>
      <c r="FO36" s="77">
        <v>15</v>
      </c>
      <c r="FP36" s="24">
        <v>116527000</v>
      </c>
      <c r="FQ36" s="76">
        <v>39540700</v>
      </c>
      <c r="FR36" s="76">
        <v>76986300</v>
      </c>
      <c r="FS36" s="76">
        <v>127.89</v>
      </c>
      <c r="FT36" s="14">
        <v>50164</v>
      </c>
      <c r="FU36" s="77">
        <v>21</v>
      </c>
      <c r="FV36" s="37">
        <v>102.74876080455533</v>
      </c>
      <c r="FW36" s="38">
        <v>103.40747459339119</v>
      </c>
      <c r="FX36" s="9"/>
      <c r="FY36" s="75">
        <v>129986808</v>
      </c>
      <c r="FZ36" s="76">
        <v>51387392</v>
      </c>
      <c r="GA36" s="76">
        <v>78599416</v>
      </c>
      <c r="GB36" s="76">
        <v>129</v>
      </c>
      <c r="GC36" s="76">
        <v>50775</v>
      </c>
      <c r="GD36" s="77">
        <f t="shared" si="0"/>
        <v>21</v>
      </c>
      <c r="GE36" s="26"/>
      <c r="GF36" s="39">
        <v>132797208</v>
      </c>
      <c r="GG36" s="76">
        <v>54197792</v>
      </c>
      <c r="GH36" s="76">
        <v>78599416</v>
      </c>
      <c r="GI36" s="76">
        <v>129</v>
      </c>
      <c r="GJ36" s="14">
        <v>50775</v>
      </c>
      <c r="GK36" s="77">
        <f t="shared" si="1"/>
        <v>23</v>
      </c>
      <c r="GL36" s="39">
        <v>131930019</v>
      </c>
      <c r="GM36" s="76">
        <v>51245856</v>
      </c>
      <c r="GN36" s="295">
        <v>80684163</v>
      </c>
      <c r="GO36" s="76">
        <v>123.43</v>
      </c>
      <c r="GP36" s="14">
        <v>54474</v>
      </c>
      <c r="GQ36" s="77">
        <f t="shared" si="2"/>
        <v>22</v>
      </c>
      <c r="GR36" s="37">
        <v>105.72978596908442</v>
      </c>
      <c r="GS36" s="38">
        <v>105.27341341291962</v>
      </c>
      <c r="GU36" s="75">
        <v>136165869</v>
      </c>
      <c r="GV36" s="76">
        <v>51572200</v>
      </c>
      <c r="GW36" s="76">
        <v>84593669</v>
      </c>
      <c r="GX36" s="76">
        <v>129</v>
      </c>
      <c r="GY36" s="76">
        <v>54647</v>
      </c>
      <c r="GZ36" s="77">
        <f t="shared" si="3"/>
        <v>19</v>
      </c>
      <c r="HA36" s="26"/>
      <c r="HB36" s="39">
        <v>136165869</v>
      </c>
      <c r="HC36" s="76">
        <v>51572200</v>
      </c>
      <c r="HD36" s="76">
        <v>84593669</v>
      </c>
      <c r="HE36" s="76">
        <v>129</v>
      </c>
      <c r="HF36" s="14">
        <v>54647</v>
      </c>
      <c r="HG36" s="77">
        <f t="shared" si="4"/>
        <v>19</v>
      </c>
      <c r="HH36" s="39">
        <v>138829583</v>
      </c>
      <c r="HI36" s="76">
        <v>52883945</v>
      </c>
      <c r="HJ36" s="295">
        <v>85945638</v>
      </c>
      <c r="HK36" s="76">
        <v>124.69</v>
      </c>
      <c r="HL36" s="14">
        <v>57440</v>
      </c>
      <c r="HM36" s="77">
        <f t="shared" si="5"/>
        <v>21</v>
      </c>
      <c r="HN36" s="37"/>
      <c r="HO36" s="38"/>
    </row>
    <row r="37" spans="1:223" ht="18" customHeight="1">
      <c r="A37" s="65">
        <v>359</v>
      </c>
      <c r="B37" s="68" t="s">
        <v>190</v>
      </c>
      <c r="C37" s="33" t="s">
        <v>203</v>
      </c>
      <c r="D37" s="41"/>
      <c r="E37" s="75">
        <v>0</v>
      </c>
      <c r="F37" s="76">
        <v>0</v>
      </c>
      <c r="G37" s="76">
        <v>0</v>
      </c>
      <c r="H37" s="76">
        <v>0</v>
      </c>
      <c r="I37" s="76">
        <v>0</v>
      </c>
      <c r="J37" s="77">
        <v>39</v>
      </c>
      <c r="K37" s="38">
        <v>103.7995512341062</v>
      </c>
      <c r="L37" s="75">
        <v>0</v>
      </c>
      <c r="M37" s="76">
        <v>0</v>
      </c>
      <c r="N37" s="76">
        <v>0</v>
      </c>
      <c r="O37" s="76">
        <v>0</v>
      </c>
      <c r="P37" s="76">
        <v>0</v>
      </c>
      <c r="Q37" s="77">
        <v>39</v>
      </c>
      <c r="R37" s="75">
        <v>0</v>
      </c>
      <c r="S37" s="76">
        <v>0</v>
      </c>
      <c r="T37" s="76">
        <v>0</v>
      </c>
      <c r="U37" s="76">
        <v>0</v>
      </c>
      <c r="V37" s="76">
        <v>0</v>
      </c>
      <c r="W37" s="77">
        <v>39</v>
      </c>
      <c r="X37" s="37">
        <v>0</v>
      </c>
      <c r="Y37" s="38">
        <v>105.139077593373</v>
      </c>
      <c r="AA37" s="75">
        <v>0</v>
      </c>
      <c r="AB37" s="76">
        <v>0</v>
      </c>
      <c r="AC37" s="76">
        <v>0</v>
      </c>
      <c r="AD37" s="76">
        <v>0</v>
      </c>
      <c r="AE37" s="76">
        <v>0</v>
      </c>
      <c r="AF37" s="77">
        <v>39</v>
      </c>
      <c r="AG37" s="38">
        <v>0</v>
      </c>
      <c r="AH37" s="75">
        <v>0</v>
      </c>
      <c r="AI37" s="76">
        <v>0</v>
      </c>
      <c r="AJ37" s="76">
        <v>0</v>
      </c>
      <c r="AK37" s="76">
        <v>0</v>
      </c>
      <c r="AL37" s="76">
        <v>0</v>
      </c>
      <c r="AM37" s="77">
        <v>39</v>
      </c>
      <c r="AN37" s="75">
        <v>0</v>
      </c>
      <c r="AO37" s="76">
        <v>0</v>
      </c>
      <c r="AP37" s="76">
        <v>0</v>
      </c>
      <c r="AQ37" s="76">
        <v>0</v>
      </c>
      <c r="AR37" s="76">
        <v>0</v>
      </c>
      <c r="AS37" s="77">
        <v>39</v>
      </c>
      <c r="AT37" s="37">
        <v>0</v>
      </c>
      <c r="AU37" s="38">
        <v>0</v>
      </c>
      <c r="AW37" s="75">
        <v>0</v>
      </c>
      <c r="AX37" s="76">
        <v>0</v>
      </c>
      <c r="AY37" s="76">
        <v>0</v>
      </c>
      <c r="AZ37" s="76">
        <v>0</v>
      </c>
      <c r="BA37" s="76">
        <v>0</v>
      </c>
      <c r="BB37" s="27">
        <v>39</v>
      </c>
      <c r="BC37" s="38">
        <v>0</v>
      </c>
      <c r="BD37" s="24">
        <v>0</v>
      </c>
      <c r="BE37" s="76">
        <v>0</v>
      </c>
      <c r="BF37" s="76">
        <v>0</v>
      </c>
      <c r="BG37" s="76">
        <v>0</v>
      </c>
      <c r="BH37" s="14">
        <v>0</v>
      </c>
      <c r="BI37" s="27">
        <v>39</v>
      </c>
      <c r="BJ37" s="24">
        <v>0</v>
      </c>
      <c r="BK37" s="76">
        <v>0</v>
      </c>
      <c r="BL37" s="76">
        <v>0</v>
      </c>
      <c r="BM37" s="76">
        <v>0</v>
      </c>
      <c r="BN37" s="14">
        <v>0</v>
      </c>
      <c r="BO37" s="27">
        <v>39</v>
      </c>
      <c r="BP37" s="37">
        <v>0</v>
      </c>
      <c r="BQ37" s="38">
        <v>0</v>
      </c>
      <c r="BS37" s="24">
        <v>0</v>
      </c>
      <c r="BT37" s="76">
        <v>0</v>
      </c>
      <c r="BU37" s="76">
        <v>0</v>
      </c>
      <c r="BV37" s="76">
        <v>0</v>
      </c>
      <c r="BW37" s="14">
        <v>0</v>
      </c>
      <c r="BX37" s="27">
        <v>39</v>
      </c>
      <c r="BY37" s="26">
        <v>0</v>
      </c>
      <c r="BZ37" s="24">
        <v>0</v>
      </c>
      <c r="CA37" s="76">
        <v>0</v>
      </c>
      <c r="CB37" s="76">
        <v>0</v>
      </c>
      <c r="CC37" s="76">
        <v>0</v>
      </c>
      <c r="CD37" s="14">
        <v>0</v>
      </c>
      <c r="CE37" s="77">
        <v>39</v>
      </c>
      <c r="CF37" s="24">
        <v>0</v>
      </c>
      <c r="CG37" s="76">
        <v>0</v>
      </c>
      <c r="CH37" s="76">
        <v>0</v>
      </c>
      <c r="CI37" s="76">
        <v>0</v>
      </c>
      <c r="CJ37" s="14">
        <v>0</v>
      </c>
      <c r="CK37" s="77">
        <v>39</v>
      </c>
      <c r="CL37" s="37">
        <v>0</v>
      </c>
      <c r="CM37" s="38">
        <v>0</v>
      </c>
      <c r="CO37" s="75">
        <v>0</v>
      </c>
      <c r="CP37" s="76">
        <v>0</v>
      </c>
      <c r="CQ37" s="76">
        <v>0</v>
      </c>
      <c r="CR37" s="76">
        <v>0</v>
      </c>
      <c r="CS37" s="76">
        <v>0</v>
      </c>
      <c r="CT37" s="45">
        <v>39</v>
      </c>
      <c r="CU37" s="26">
        <v>0</v>
      </c>
      <c r="CV37" s="75">
        <v>0</v>
      </c>
      <c r="CW37" s="76">
        <v>0</v>
      </c>
      <c r="CX37" s="76">
        <v>0</v>
      </c>
      <c r="CY37" s="76">
        <v>0</v>
      </c>
      <c r="CZ37" s="76">
        <v>0</v>
      </c>
      <c r="DA37" s="77">
        <v>42</v>
      </c>
      <c r="DB37" s="24">
        <v>0</v>
      </c>
      <c r="DC37" s="76">
        <v>0</v>
      </c>
      <c r="DD37" s="76">
        <v>0</v>
      </c>
      <c r="DE37" s="76">
        <v>0</v>
      </c>
      <c r="DF37" s="14">
        <v>0</v>
      </c>
      <c r="DG37" s="77">
        <v>42</v>
      </c>
      <c r="DH37" s="37">
        <v>0</v>
      </c>
      <c r="DI37" s="38">
        <v>0</v>
      </c>
      <c r="DK37" s="24">
        <v>0</v>
      </c>
      <c r="DL37" s="76">
        <v>0</v>
      </c>
      <c r="DM37" s="76">
        <v>0</v>
      </c>
      <c r="DN37" s="76">
        <v>0</v>
      </c>
      <c r="DO37" s="14">
        <v>0</v>
      </c>
      <c r="DP37" s="77">
        <v>42</v>
      </c>
      <c r="DQ37" s="26">
        <v>0</v>
      </c>
      <c r="DR37" s="24">
        <v>8721500</v>
      </c>
      <c r="DS37" s="76">
        <v>4502868</v>
      </c>
      <c r="DT37" s="76">
        <v>4218632</v>
      </c>
      <c r="DU37" s="76">
        <v>7.33</v>
      </c>
      <c r="DV37" s="14">
        <v>47961</v>
      </c>
      <c r="DW37" s="77">
        <v>7</v>
      </c>
      <c r="DX37" s="24">
        <v>8108028</v>
      </c>
      <c r="DY37" s="76">
        <v>4146141</v>
      </c>
      <c r="DZ37" s="76">
        <v>3961887</v>
      </c>
      <c r="EA37" s="76">
        <v>6.57</v>
      </c>
      <c r="EB37" s="14">
        <v>50252</v>
      </c>
      <c r="EC37" s="77">
        <v>13</v>
      </c>
      <c r="ED37" s="37">
        <v>104.77679781489127</v>
      </c>
      <c r="EE37" s="38">
        <v>0</v>
      </c>
      <c r="EG37" s="24">
        <v>12355409</v>
      </c>
      <c r="EH37" s="76">
        <v>4966000</v>
      </c>
      <c r="EI37" s="76">
        <v>7389409</v>
      </c>
      <c r="EJ37" s="76">
        <v>12</v>
      </c>
      <c r="EK37" s="14">
        <v>51315</v>
      </c>
      <c r="EL37" s="77">
        <v>5</v>
      </c>
      <c r="EM37" s="26">
        <v>0</v>
      </c>
      <c r="EN37" s="24">
        <v>12355409</v>
      </c>
      <c r="EO37" s="76">
        <v>4966000</v>
      </c>
      <c r="EP37" s="76">
        <v>7389409</v>
      </c>
      <c r="EQ37" s="76">
        <v>12</v>
      </c>
      <c r="ER37" s="14">
        <v>51315</v>
      </c>
      <c r="ES37" s="77">
        <v>7</v>
      </c>
      <c r="ET37" s="24">
        <v>12133263</v>
      </c>
      <c r="EU37" s="76">
        <v>4860290</v>
      </c>
      <c r="EV37" s="76">
        <v>7272973</v>
      </c>
      <c r="EW37" s="76">
        <v>12</v>
      </c>
      <c r="EX37" s="14">
        <v>50507</v>
      </c>
      <c r="EY37" s="27">
        <v>17</v>
      </c>
      <c r="EZ37" s="37">
        <v>98.425411673000099</v>
      </c>
      <c r="FA37" s="38">
        <v>100.50744248985114</v>
      </c>
      <c r="FB37" s="9"/>
      <c r="FC37" s="24">
        <v>13428691</v>
      </c>
      <c r="FD37" s="76">
        <v>5601600</v>
      </c>
      <c r="FE37" s="76">
        <v>7827091</v>
      </c>
      <c r="FF37" s="76">
        <v>12</v>
      </c>
      <c r="FG37" s="14">
        <v>54355</v>
      </c>
      <c r="FH37" s="77">
        <v>6</v>
      </c>
      <c r="FI37" s="26">
        <v>105.92419370554418</v>
      </c>
      <c r="FJ37" s="24">
        <v>13428691</v>
      </c>
      <c r="FK37" s="76">
        <v>5601600</v>
      </c>
      <c r="FL37" s="76">
        <v>7827091</v>
      </c>
      <c r="FM37" s="76">
        <v>12</v>
      </c>
      <c r="FN37" s="14">
        <v>54355</v>
      </c>
      <c r="FO37" s="77">
        <v>5</v>
      </c>
      <c r="FP37" s="24">
        <v>13124566</v>
      </c>
      <c r="FQ37" s="76">
        <v>5421054</v>
      </c>
      <c r="FR37" s="76">
        <v>7703512</v>
      </c>
      <c r="FS37" s="76">
        <v>11.95</v>
      </c>
      <c r="FT37" s="14">
        <v>53720</v>
      </c>
      <c r="FU37" s="77">
        <v>13</v>
      </c>
      <c r="FV37" s="37">
        <v>98.831754208444494</v>
      </c>
      <c r="FW37" s="38">
        <v>106.36149444631438</v>
      </c>
      <c r="FX37" s="9"/>
      <c r="FY37" s="75">
        <v>14180171</v>
      </c>
      <c r="FZ37" s="76">
        <v>6202800</v>
      </c>
      <c r="GA37" s="76">
        <v>7977371</v>
      </c>
      <c r="GB37" s="76">
        <v>12</v>
      </c>
      <c r="GC37" s="76">
        <v>55398</v>
      </c>
      <c r="GD37" s="77">
        <f t="shared" si="0"/>
        <v>7</v>
      </c>
      <c r="GE37" s="26"/>
      <c r="GF37" s="39">
        <v>14180171</v>
      </c>
      <c r="GG37" s="76">
        <v>6202800</v>
      </c>
      <c r="GH37" s="76">
        <v>7977371</v>
      </c>
      <c r="GI37" s="76">
        <v>12</v>
      </c>
      <c r="GJ37" s="14">
        <v>55398</v>
      </c>
      <c r="GK37" s="77">
        <f t="shared" si="1"/>
        <v>8</v>
      </c>
      <c r="GL37" s="39">
        <v>14072069</v>
      </c>
      <c r="GM37" s="76">
        <v>5986950</v>
      </c>
      <c r="GN37" s="295">
        <v>8085119</v>
      </c>
      <c r="GO37" s="76">
        <v>11.84</v>
      </c>
      <c r="GP37" s="14">
        <v>56905</v>
      </c>
      <c r="GQ37" s="77">
        <f t="shared" si="2"/>
        <v>14</v>
      </c>
      <c r="GR37" s="37">
        <v>0</v>
      </c>
      <c r="GS37" s="38">
        <v>0</v>
      </c>
      <c r="GU37" s="75">
        <v>15302640</v>
      </c>
      <c r="GV37" s="76">
        <v>6926400</v>
      </c>
      <c r="GW37" s="76">
        <v>8376240</v>
      </c>
      <c r="GX37" s="76">
        <v>12</v>
      </c>
      <c r="GY37" s="76">
        <v>58168</v>
      </c>
      <c r="GZ37" s="77">
        <f t="shared" si="3"/>
        <v>8</v>
      </c>
      <c r="HA37" s="26"/>
      <c r="HB37" s="39">
        <v>15302640</v>
      </c>
      <c r="HC37" s="76">
        <v>6926400</v>
      </c>
      <c r="HD37" s="76">
        <v>8376240</v>
      </c>
      <c r="HE37" s="76">
        <v>12</v>
      </c>
      <c r="HF37" s="14">
        <v>58168</v>
      </c>
      <c r="HG37" s="77">
        <f t="shared" si="4"/>
        <v>10</v>
      </c>
      <c r="HH37" s="39">
        <v>15562806</v>
      </c>
      <c r="HI37" s="76">
        <v>6247900</v>
      </c>
      <c r="HJ37" s="295">
        <v>9314906</v>
      </c>
      <c r="HK37" s="76">
        <v>11.83</v>
      </c>
      <c r="HL37" s="14">
        <v>65616</v>
      </c>
      <c r="HM37" s="77">
        <f t="shared" si="5"/>
        <v>8</v>
      </c>
      <c r="HN37" s="37"/>
      <c r="HO37" s="38"/>
    </row>
    <row r="38" spans="1:223" ht="18" customHeight="1">
      <c r="A38" s="65">
        <v>361</v>
      </c>
      <c r="B38" s="68" t="s">
        <v>52</v>
      </c>
      <c r="C38" s="33" t="s">
        <v>53</v>
      </c>
      <c r="D38" s="41"/>
      <c r="E38" s="75">
        <v>37766000</v>
      </c>
      <c r="F38" s="76">
        <v>1052000</v>
      </c>
      <c r="G38" s="76">
        <v>36714000</v>
      </c>
      <c r="H38" s="76">
        <v>79</v>
      </c>
      <c r="I38" s="76">
        <v>38728</v>
      </c>
      <c r="J38" s="77">
        <v>2</v>
      </c>
      <c r="K38" s="38">
        <v>100.97775923656557</v>
      </c>
      <c r="L38" s="75">
        <v>37841000</v>
      </c>
      <c r="M38" s="76">
        <v>1127000</v>
      </c>
      <c r="N38" s="76">
        <v>36714000</v>
      </c>
      <c r="O38" s="76">
        <v>79</v>
      </c>
      <c r="P38" s="76">
        <v>38728</v>
      </c>
      <c r="Q38" s="77">
        <v>3</v>
      </c>
      <c r="R38" s="75">
        <v>37840021</v>
      </c>
      <c r="S38" s="76">
        <v>1126980</v>
      </c>
      <c r="T38" s="76">
        <v>36713041</v>
      </c>
      <c r="U38" s="76">
        <v>74</v>
      </c>
      <c r="V38" s="76">
        <v>41344</v>
      </c>
      <c r="W38" s="77">
        <v>6</v>
      </c>
      <c r="X38" s="37">
        <v>106.75480272670936</v>
      </c>
      <c r="Y38" s="38">
        <v>106.139077593373</v>
      </c>
      <c r="AA38" s="75">
        <v>38521320</v>
      </c>
      <c r="AB38" s="76">
        <v>1073040</v>
      </c>
      <c r="AC38" s="76">
        <v>37448280</v>
      </c>
      <c r="AD38" s="76">
        <v>79</v>
      </c>
      <c r="AE38" s="76">
        <v>39502</v>
      </c>
      <c r="AF38" s="77">
        <v>4</v>
      </c>
      <c r="AG38" s="38">
        <v>101.99855401776492</v>
      </c>
      <c r="AH38" s="75">
        <v>38739768</v>
      </c>
      <c r="AI38" s="76">
        <v>1465209</v>
      </c>
      <c r="AJ38" s="76">
        <v>37274559</v>
      </c>
      <c r="AK38" s="76">
        <v>79</v>
      </c>
      <c r="AL38" s="76">
        <v>39319</v>
      </c>
      <c r="AM38" s="77">
        <v>3</v>
      </c>
      <c r="AN38" s="75">
        <v>38893849</v>
      </c>
      <c r="AO38" s="76">
        <v>1619512</v>
      </c>
      <c r="AP38" s="76">
        <v>37274337</v>
      </c>
      <c r="AQ38" s="76">
        <v>73</v>
      </c>
      <c r="AR38" s="76">
        <v>42551</v>
      </c>
      <c r="AS38" s="77">
        <v>5</v>
      </c>
      <c r="AT38" s="37">
        <v>108.21994455606705</v>
      </c>
      <c r="AU38" s="38">
        <v>102.91940789473684</v>
      </c>
      <c r="AW38" s="75">
        <v>40467610</v>
      </c>
      <c r="AX38" s="76">
        <v>1127255</v>
      </c>
      <c r="AY38" s="76">
        <v>39340355</v>
      </c>
      <c r="AZ38" s="76">
        <v>77</v>
      </c>
      <c r="BA38" s="76">
        <v>42576</v>
      </c>
      <c r="BB38" s="27">
        <v>5</v>
      </c>
      <c r="BC38" s="38">
        <v>107.78188446154624</v>
      </c>
      <c r="BD38" s="24">
        <v>40664312</v>
      </c>
      <c r="BE38" s="76">
        <v>1127255</v>
      </c>
      <c r="BF38" s="76">
        <v>39537057</v>
      </c>
      <c r="BG38" s="76">
        <v>77</v>
      </c>
      <c r="BH38" s="14">
        <v>42789</v>
      </c>
      <c r="BI38" s="27">
        <v>3</v>
      </c>
      <c r="BJ38" s="24">
        <v>40568744</v>
      </c>
      <c r="BK38" s="76">
        <v>1127109</v>
      </c>
      <c r="BL38" s="76">
        <v>39441635</v>
      </c>
      <c r="BM38" s="76">
        <v>74</v>
      </c>
      <c r="BN38" s="14">
        <v>44416</v>
      </c>
      <c r="BO38" s="27">
        <v>5</v>
      </c>
      <c r="BP38" s="37">
        <v>103.80237911612798</v>
      </c>
      <c r="BQ38" s="38">
        <v>104.38297572324974</v>
      </c>
      <c r="BS38" s="24">
        <v>41681639</v>
      </c>
      <c r="BT38" s="76">
        <v>1161073</v>
      </c>
      <c r="BU38" s="76">
        <v>40520566</v>
      </c>
      <c r="BV38" s="76">
        <v>77</v>
      </c>
      <c r="BW38" s="14">
        <v>43853</v>
      </c>
      <c r="BX38" s="27">
        <v>4</v>
      </c>
      <c r="BY38" s="26">
        <v>102.99934235249906</v>
      </c>
      <c r="BZ38" s="24">
        <v>42019310</v>
      </c>
      <c r="CA38" s="76">
        <v>1161073</v>
      </c>
      <c r="CB38" s="76">
        <v>40858237</v>
      </c>
      <c r="CC38" s="76">
        <v>77</v>
      </c>
      <c r="CD38" s="14">
        <v>44219</v>
      </c>
      <c r="CE38" s="77">
        <v>4</v>
      </c>
      <c r="CF38" s="24">
        <v>42696614</v>
      </c>
      <c r="CG38" s="76">
        <v>1134590</v>
      </c>
      <c r="CH38" s="76">
        <v>41562024</v>
      </c>
      <c r="CI38" s="76">
        <v>74</v>
      </c>
      <c r="CJ38" s="14">
        <v>46804</v>
      </c>
      <c r="CK38" s="77">
        <v>4</v>
      </c>
      <c r="CL38" s="37">
        <v>105.84590334471606</v>
      </c>
      <c r="CM38" s="38">
        <v>105.37644092219021</v>
      </c>
      <c r="CO38" s="75">
        <v>43707667</v>
      </c>
      <c r="CP38" s="76">
        <v>1161073</v>
      </c>
      <c r="CQ38" s="76">
        <v>42546594</v>
      </c>
      <c r="CR38" s="76">
        <v>77</v>
      </c>
      <c r="CS38" s="76">
        <v>46046</v>
      </c>
      <c r="CT38" s="45">
        <v>3</v>
      </c>
      <c r="CU38" s="26">
        <v>105.00079812099514</v>
      </c>
      <c r="CV38" s="75">
        <v>44345866</v>
      </c>
      <c r="CW38" s="76">
        <v>1256073</v>
      </c>
      <c r="CX38" s="76">
        <v>43089793</v>
      </c>
      <c r="CY38" s="76">
        <v>77</v>
      </c>
      <c r="CZ38" s="76">
        <v>46634</v>
      </c>
      <c r="DA38" s="77">
        <v>5</v>
      </c>
      <c r="DB38" s="24">
        <v>44630068</v>
      </c>
      <c r="DC38" s="76">
        <v>1466437</v>
      </c>
      <c r="DD38" s="76">
        <v>43163631</v>
      </c>
      <c r="DE38" s="76">
        <v>73.63</v>
      </c>
      <c r="DF38" s="14">
        <v>48852</v>
      </c>
      <c r="DG38" s="77">
        <v>6</v>
      </c>
      <c r="DH38" s="37">
        <v>104.75618647338851</v>
      </c>
      <c r="DI38" s="38">
        <v>104.37569438509529</v>
      </c>
      <c r="DK38" s="24">
        <v>50548266</v>
      </c>
      <c r="DL38" s="76">
        <v>1161073</v>
      </c>
      <c r="DM38" s="76">
        <v>49387193</v>
      </c>
      <c r="DN38" s="76">
        <v>82</v>
      </c>
      <c r="DO38" s="14">
        <v>50190</v>
      </c>
      <c r="DP38" s="77">
        <v>2</v>
      </c>
      <c r="DQ38" s="26">
        <v>108.99969595621771</v>
      </c>
      <c r="DR38" s="24">
        <v>50548266</v>
      </c>
      <c r="DS38" s="76">
        <v>1491073</v>
      </c>
      <c r="DT38" s="76">
        <v>49057193</v>
      </c>
      <c r="DU38" s="76">
        <v>82</v>
      </c>
      <c r="DV38" s="14">
        <v>49855</v>
      </c>
      <c r="DW38" s="77">
        <v>4</v>
      </c>
      <c r="DX38" s="24">
        <v>50506547</v>
      </c>
      <c r="DY38" s="76">
        <v>1433215</v>
      </c>
      <c r="DZ38" s="76">
        <v>49073332</v>
      </c>
      <c r="EA38" s="76">
        <v>75.39</v>
      </c>
      <c r="EB38" s="14">
        <v>54244</v>
      </c>
      <c r="EC38" s="77">
        <v>4</v>
      </c>
      <c r="ED38" s="37">
        <v>108.8035302376893</v>
      </c>
      <c r="EE38" s="38">
        <v>111.03741914353557</v>
      </c>
      <c r="EG38" s="24">
        <v>49366102</v>
      </c>
      <c r="EH38" s="76">
        <v>1161073</v>
      </c>
      <c r="EI38" s="76">
        <v>48205029</v>
      </c>
      <c r="EJ38" s="76">
        <v>80</v>
      </c>
      <c r="EK38" s="14">
        <v>50214</v>
      </c>
      <c r="EL38" s="77">
        <v>8</v>
      </c>
      <c r="EM38" s="26">
        <v>100.04781829049611</v>
      </c>
      <c r="EN38" s="24">
        <v>52377502</v>
      </c>
      <c r="EO38" s="76">
        <v>1171073</v>
      </c>
      <c r="EP38" s="76">
        <v>51206429</v>
      </c>
      <c r="EQ38" s="76">
        <v>80</v>
      </c>
      <c r="ER38" s="14">
        <v>53340</v>
      </c>
      <c r="ES38" s="77">
        <v>3</v>
      </c>
      <c r="ET38" s="24">
        <v>52432164</v>
      </c>
      <c r="EU38" s="76">
        <v>1250691</v>
      </c>
      <c r="EV38" s="76">
        <v>51181473</v>
      </c>
      <c r="EW38" s="76">
        <v>78.58</v>
      </c>
      <c r="EX38" s="14">
        <v>54277</v>
      </c>
      <c r="EY38" s="27">
        <v>7</v>
      </c>
      <c r="EZ38" s="37">
        <v>101.75665541807275</v>
      </c>
      <c r="FA38" s="38">
        <v>100.06083622151758</v>
      </c>
      <c r="FB38" s="9"/>
      <c r="FC38" s="24">
        <v>52501092</v>
      </c>
      <c r="FD38" s="76">
        <v>1161073</v>
      </c>
      <c r="FE38" s="76">
        <v>51340019</v>
      </c>
      <c r="FF38" s="76">
        <v>78</v>
      </c>
      <c r="FG38" s="14">
        <v>54850</v>
      </c>
      <c r="FH38" s="77">
        <v>4</v>
      </c>
      <c r="FI38" s="26">
        <v>109.23248496435257</v>
      </c>
      <c r="FJ38" s="24">
        <v>52501092</v>
      </c>
      <c r="FK38" s="76">
        <v>1522888</v>
      </c>
      <c r="FL38" s="76">
        <v>50978204</v>
      </c>
      <c r="FM38" s="76">
        <v>78</v>
      </c>
      <c r="FN38" s="14">
        <v>54464</v>
      </c>
      <c r="FO38" s="77">
        <v>4</v>
      </c>
      <c r="FP38" s="24">
        <v>52493099</v>
      </c>
      <c r="FQ38" s="76">
        <v>1506455</v>
      </c>
      <c r="FR38" s="76">
        <v>50986644</v>
      </c>
      <c r="FS38" s="76">
        <v>74.72</v>
      </c>
      <c r="FT38" s="14">
        <v>56864</v>
      </c>
      <c r="FU38" s="77">
        <v>5</v>
      </c>
      <c r="FV38" s="37">
        <v>104.40658049353702</v>
      </c>
      <c r="FW38" s="38">
        <v>104.76629143099288</v>
      </c>
      <c r="FX38" s="9"/>
      <c r="FY38" s="75">
        <v>53272327</v>
      </c>
      <c r="FZ38" s="76">
        <v>9711740</v>
      </c>
      <c r="GA38" s="76">
        <v>43560587</v>
      </c>
      <c r="GB38" s="76">
        <v>71</v>
      </c>
      <c r="GC38" s="76">
        <v>51127</v>
      </c>
      <c r="GD38" s="77">
        <f t="shared" si="0"/>
        <v>19</v>
      </c>
      <c r="GE38" s="26"/>
      <c r="GF38" s="39">
        <v>53739722</v>
      </c>
      <c r="GG38" s="76">
        <v>9779135</v>
      </c>
      <c r="GH38" s="76">
        <v>43960587</v>
      </c>
      <c r="GI38" s="76">
        <v>71</v>
      </c>
      <c r="GJ38" s="14">
        <v>51597</v>
      </c>
      <c r="GK38" s="77">
        <f t="shared" si="1"/>
        <v>21</v>
      </c>
      <c r="GL38" s="39">
        <v>53403619</v>
      </c>
      <c r="GM38" s="76">
        <v>9716277</v>
      </c>
      <c r="GN38" s="295">
        <v>43687342</v>
      </c>
      <c r="GO38" s="76">
        <v>66.86</v>
      </c>
      <c r="GP38" s="14">
        <v>54451</v>
      </c>
      <c r="GQ38" s="77">
        <f t="shared" si="2"/>
        <v>23</v>
      </c>
      <c r="GR38" s="37">
        <v>104.75618647338851</v>
      </c>
      <c r="GS38" s="38">
        <v>104.37569438509529</v>
      </c>
      <c r="GU38" s="75">
        <v>55450356</v>
      </c>
      <c r="GV38" s="76">
        <v>9711740</v>
      </c>
      <c r="GW38" s="76">
        <v>45738616</v>
      </c>
      <c r="GX38" s="76">
        <v>71</v>
      </c>
      <c r="GY38" s="76">
        <v>53684</v>
      </c>
      <c r="GZ38" s="77">
        <f t="shared" si="3"/>
        <v>22</v>
      </c>
      <c r="HA38" s="26"/>
      <c r="HB38" s="39">
        <v>57734532</v>
      </c>
      <c r="HC38" s="76">
        <v>10707500</v>
      </c>
      <c r="HD38" s="76">
        <v>47027032</v>
      </c>
      <c r="HE38" s="76">
        <v>73</v>
      </c>
      <c r="HF38" s="14">
        <v>53684</v>
      </c>
      <c r="HG38" s="77">
        <f t="shared" si="4"/>
        <v>23</v>
      </c>
      <c r="HH38" s="39">
        <v>57276072</v>
      </c>
      <c r="HI38" s="76">
        <v>10787108</v>
      </c>
      <c r="HJ38" s="295">
        <v>46488964</v>
      </c>
      <c r="HK38" s="76">
        <v>68.69</v>
      </c>
      <c r="HL38" s="14">
        <v>56399</v>
      </c>
      <c r="HM38" s="77">
        <f t="shared" si="5"/>
        <v>22</v>
      </c>
      <c r="HN38" s="37"/>
      <c r="HO38" s="38"/>
    </row>
    <row r="39" spans="1:223" ht="18" customHeight="1">
      <c r="A39" s="65">
        <v>362</v>
      </c>
      <c r="B39" s="68" t="s">
        <v>187</v>
      </c>
      <c r="C39" s="33" t="s">
        <v>204</v>
      </c>
      <c r="D39" s="41"/>
      <c r="E39" s="75">
        <v>0</v>
      </c>
      <c r="F39" s="76">
        <v>0</v>
      </c>
      <c r="G39" s="76">
        <v>0</v>
      </c>
      <c r="H39" s="76">
        <v>0</v>
      </c>
      <c r="I39" s="76">
        <v>0</v>
      </c>
      <c r="J39" s="77">
        <v>39</v>
      </c>
      <c r="K39" s="38">
        <v>103.7995512341062</v>
      </c>
      <c r="L39" s="75">
        <v>0</v>
      </c>
      <c r="M39" s="76">
        <v>0</v>
      </c>
      <c r="N39" s="76">
        <v>0</v>
      </c>
      <c r="O39" s="76">
        <v>0</v>
      </c>
      <c r="P39" s="76">
        <v>0</v>
      </c>
      <c r="Q39" s="77">
        <v>39</v>
      </c>
      <c r="R39" s="75">
        <v>0</v>
      </c>
      <c r="S39" s="76">
        <v>0</v>
      </c>
      <c r="T39" s="76">
        <v>0</v>
      </c>
      <c r="U39" s="76">
        <v>0</v>
      </c>
      <c r="V39" s="76">
        <v>0</v>
      </c>
      <c r="W39" s="77">
        <v>39</v>
      </c>
      <c r="X39" s="37">
        <v>0</v>
      </c>
      <c r="Y39" s="38">
        <v>107.139077593373</v>
      </c>
      <c r="AA39" s="75">
        <v>0</v>
      </c>
      <c r="AB39" s="76">
        <v>0</v>
      </c>
      <c r="AC39" s="76">
        <v>0</v>
      </c>
      <c r="AD39" s="76">
        <v>0</v>
      </c>
      <c r="AE39" s="76">
        <v>0</v>
      </c>
      <c r="AF39" s="77">
        <v>39</v>
      </c>
      <c r="AG39" s="38">
        <v>0</v>
      </c>
      <c r="AH39" s="75">
        <v>0</v>
      </c>
      <c r="AI39" s="76">
        <v>0</v>
      </c>
      <c r="AJ39" s="76">
        <v>0</v>
      </c>
      <c r="AK39" s="76">
        <v>0</v>
      </c>
      <c r="AL39" s="76">
        <v>0</v>
      </c>
      <c r="AM39" s="77">
        <v>39</v>
      </c>
      <c r="AN39" s="75">
        <v>0</v>
      </c>
      <c r="AO39" s="76">
        <v>0</v>
      </c>
      <c r="AP39" s="76">
        <v>0</v>
      </c>
      <c r="AQ39" s="76">
        <v>0</v>
      </c>
      <c r="AR39" s="76">
        <v>0</v>
      </c>
      <c r="AS39" s="77">
        <v>39</v>
      </c>
      <c r="AT39" s="37">
        <v>0</v>
      </c>
      <c r="AU39" s="38">
        <v>0</v>
      </c>
      <c r="AW39" s="75">
        <v>0</v>
      </c>
      <c r="AX39" s="76">
        <v>0</v>
      </c>
      <c r="AY39" s="76">
        <v>0</v>
      </c>
      <c r="AZ39" s="76">
        <v>0</v>
      </c>
      <c r="BA39" s="76">
        <v>0</v>
      </c>
      <c r="BB39" s="27">
        <v>39</v>
      </c>
      <c r="BC39" s="38">
        <v>0</v>
      </c>
      <c r="BD39" s="24">
        <v>0</v>
      </c>
      <c r="BE39" s="76">
        <v>0</v>
      </c>
      <c r="BF39" s="76">
        <v>0</v>
      </c>
      <c r="BG39" s="76">
        <v>0</v>
      </c>
      <c r="BH39" s="14">
        <v>0</v>
      </c>
      <c r="BI39" s="27">
        <v>39</v>
      </c>
      <c r="BJ39" s="24">
        <v>0</v>
      </c>
      <c r="BK39" s="76">
        <v>0</v>
      </c>
      <c r="BL39" s="76">
        <v>0</v>
      </c>
      <c r="BM39" s="76">
        <v>0</v>
      </c>
      <c r="BN39" s="14">
        <v>0</v>
      </c>
      <c r="BO39" s="27">
        <v>39</v>
      </c>
      <c r="BP39" s="37">
        <v>0</v>
      </c>
      <c r="BQ39" s="38">
        <v>0</v>
      </c>
      <c r="BS39" s="24">
        <v>0</v>
      </c>
      <c r="BT39" s="76">
        <v>0</v>
      </c>
      <c r="BU39" s="76">
        <v>0</v>
      </c>
      <c r="BV39" s="76">
        <v>0</v>
      </c>
      <c r="BW39" s="14">
        <v>0</v>
      </c>
      <c r="BX39" s="27">
        <v>39</v>
      </c>
      <c r="BY39" s="26">
        <v>0</v>
      </c>
      <c r="BZ39" s="24">
        <v>0</v>
      </c>
      <c r="CA39" s="76">
        <v>0</v>
      </c>
      <c r="CB39" s="76">
        <v>0</v>
      </c>
      <c r="CC39" s="76">
        <v>0</v>
      </c>
      <c r="CD39" s="14">
        <v>0</v>
      </c>
      <c r="CE39" s="77">
        <v>39</v>
      </c>
      <c r="CF39" s="24">
        <v>0</v>
      </c>
      <c r="CG39" s="76">
        <v>0</v>
      </c>
      <c r="CH39" s="76">
        <v>0</v>
      </c>
      <c r="CI39" s="76">
        <v>0</v>
      </c>
      <c r="CJ39" s="14">
        <v>0</v>
      </c>
      <c r="CK39" s="77">
        <v>39</v>
      </c>
      <c r="CL39" s="37">
        <v>0</v>
      </c>
      <c r="CM39" s="38">
        <v>0</v>
      </c>
      <c r="CO39" s="75">
        <v>0</v>
      </c>
      <c r="CP39" s="76">
        <v>0</v>
      </c>
      <c r="CQ39" s="76">
        <v>0</v>
      </c>
      <c r="CR39" s="76">
        <v>0</v>
      </c>
      <c r="CS39" s="76">
        <v>0</v>
      </c>
      <c r="CT39" s="45">
        <v>39</v>
      </c>
      <c r="CU39" s="26">
        <v>0</v>
      </c>
      <c r="CV39" s="75">
        <v>0</v>
      </c>
      <c r="CW39" s="76">
        <v>0</v>
      </c>
      <c r="CX39" s="76">
        <v>0</v>
      </c>
      <c r="CY39" s="76">
        <v>0</v>
      </c>
      <c r="CZ39" s="76">
        <v>0</v>
      </c>
      <c r="DA39" s="77">
        <v>42</v>
      </c>
      <c r="DB39" s="24">
        <v>0</v>
      </c>
      <c r="DC39" s="76">
        <v>0</v>
      </c>
      <c r="DD39" s="76">
        <v>0</v>
      </c>
      <c r="DE39" s="76">
        <v>0</v>
      </c>
      <c r="DF39" s="14">
        <v>0</v>
      </c>
      <c r="DG39" s="77">
        <v>42</v>
      </c>
      <c r="DH39" s="37">
        <v>0</v>
      </c>
      <c r="DI39" s="38">
        <v>0</v>
      </c>
      <c r="DK39" s="24">
        <v>0</v>
      </c>
      <c r="DL39" s="76">
        <v>0</v>
      </c>
      <c r="DM39" s="76">
        <v>0</v>
      </c>
      <c r="DN39" s="76">
        <v>0</v>
      </c>
      <c r="DO39" s="14">
        <v>0</v>
      </c>
      <c r="DP39" s="77">
        <v>42</v>
      </c>
      <c r="DQ39" s="26">
        <v>0</v>
      </c>
      <c r="DR39" s="24">
        <v>0</v>
      </c>
      <c r="DS39" s="76">
        <v>0</v>
      </c>
      <c r="DT39" s="76">
        <v>0</v>
      </c>
      <c r="DU39" s="76">
        <v>0</v>
      </c>
      <c r="DV39" s="14">
        <v>0</v>
      </c>
      <c r="DW39" s="77">
        <v>43</v>
      </c>
      <c r="DX39" s="24">
        <v>0</v>
      </c>
      <c r="DY39" s="76">
        <v>0</v>
      </c>
      <c r="DZ39" s="76">
        <v>0</v>
      </c>
      <c r="EA39" s="76">
        <v>0</v>
      </c>
      <c r="EB39" s="14">
        <v>0</v>
      </c>
      <c r="EC39" s="77">
        <v>43</v>
      </c>
      <c r="ED39" s="37">
        <v>0</v>
      </c>
      <c r="EE39" s="38">
        <v>0</v>
      </c>
      <c r="EG39" s="24">
        <v>0</v>
      </c>
      <c r="EH39" s="76">
        <v>0</v>
      </c>
      <c r="EI39" s="76">
        <v>0</v>
      </c>
      <c r="EJ39" s="76">
        <v>0</v>
      </c>
      <c r="EK39" s="14">
        <v>0</v>
      </c>
      <c r="EL39" s="77">
        <v>43</v>
      </c>
      <c r="EM39" s="26">
        <v>0</v>
      </c>
      <c r="EN39" s="24">
        <v>2615949</v>
      </c>
      <c r="EO39" s="76">
        <v>1158806</v>
      </c>
      <c r="EP39" s="76">
        <v>1457143</v>
      </c>
      <c r="EQ39" s="76">
        <v>4.4800000000000004</v>
      </c>
      <c r="ER39" s="14">
        <v>27105</v>
      </c>
      <c r="ES39" s="77">
        <v>43</v>
      </c>
      <c r="ET39" s="24">
        <v>2319884</v>
      </c>
      <c r="EU39" s="76">
        <v>1128756</v>
      </c>
      <c r="EV39" s="76">
        <v>1191128</v>
      </c>
      <c r="EW39" s="76">
        <v>1.8</v>
      </c>
      <c r="EX39" s="14">
        <v>55145</v>
      </c>
      <c r="EY39" s="27">
        <v>6</v>
      </c>
      <c r="EZ39" s="37">
        <v>203.44954805386459</v>
      </c>
      <c r="FA39" s="38">
        <v>0</v>
      </c>
      <c r="FB39" s="9"/>
      <c r="FC39" s="24">
        <v>18997065</v>
      </c>
      <c r="FD39" s="76">
        <v>7838400</v>
      </c>
      <c r="FE39" s="76">
        <v>11158665</v>
      </c>
      <c r="FF39" s="76">
        <v>41.33</v>
      </c>
      <c r="FG39" s="14">
        <v>22499</v>
      </c>
      <c r="FH39" s="77">
        <v>43</v>
      </c>
      <c r="FI39" s="26">
        <v>0</v>
      </c>
      <c r="FJ39" s="24">
        <v>29497065</v>
      </c>
      <c r="FK39" s="76">
        <v>6038400</v>
      </c>
      <c r="FL39" s="76">
        <v>23458665</v>
      </c>
      <c r="FM39" s="76">
        <v>51.33</v>
      </c>
      <c r="FN39" s="14">
        <v>38085</v>
      </c>
      <c r="FO39" s="77">
        <v>40</v>
      </c>
      <c r="FP39" s="24">
        <v>26084176</v>
      </c>
      <c r="FQ39" s="76">
        <v>5595040</v>
      </c>
      <c r="FR39" s="76">
        <v>20489136</v>
      </c>
      <c r="FS39" s="76">
        <v>30.38</v>
      </c>
      <c r="FT39" s="14">
        <v>56202</v>
      </c>
      <c r="FU39" s="77">
        <v>6</v>
      </c>
      <c r="FV39" s="37">
        <v>147.56990941315479</v>
      </c>
      <c r="FW39" s="38">
        <v>101.91676489255599</v>
      </c>
      <c r="FX39" s="9"/>
      <c r="FY39" s="75">
        <v>44751509</v>
      </c>
      <c r="FZ39" s="76">
        <v>7256000</v>
      </c>
      <c r="GA39" s="76">
        <v>37495509</v>
      </c>
      <c r="GB39" s="76">
        <v>75</v>
      </c>
      <c r="GC39" s="76">
        <v>41662</v>
      </c>
      <c r="GD39" s="77">
        <f t="shared" si="0"/>
        <v>38</v>
      </c>
      <c r="GE39" s="26"/>
      <c r="GF39" s="39">
        <v>55647603</v>
      </c>
      <c r="GG39" s="76">
        <v>7256000</v>
      </c>
      <c r="GH39" s="76">
        <v>48391603</v>
      </c>
      <c r="GI39" s="76">
        <v>76.5</v>
      </c>
      <c r="GJ39" s="14">
        <v>52714</v>
      </c>
      <c r="GK39" s="77">
        <f t="shared" si="1"/>
        <v>18</v>
      </c>
      <c r="GL39" s="39">
        <v>54112609</v>
      </c>
      <c r="GM39" s="76">
        <v>6769078</v>
      </c>
      <c r="GN39" s="295">
        <v>47343531</v>
      </c>
      <c r="GO39" s="76">
        <v>69.5</v>
      </c>
      <c r="GP39" s="14">
        <v>56767</v>
      </c>
      <c r="GQ39" s="77">
        <f t="shared" si="2"/>
        <v>15</v>
      </c>
      <c r="GR39" s="37">
        <v>0</v>
      </c>
      <c r="GS39" s="38">
        <v>0</v>
      </c>
      <c r="GU39" s="75">
        <v>58785983</v>
      </c>
      <c r="GV39" s="76">
        <v>7974800</v>
      </c>
      <c r="GW39" s="76">
        <v>50811183</v>
      </c>
      <c r="GX39" s="76">
        <v>78</v>
      </c>
      <c r="GY39" s="76">
        <v>54285</v>
      </c>
      <c r="GZ39" s="77">
        <f t="shared" si="3"/>
        <v>21</v>
      </c>
      <c r="HA39" s="26"/>
      <c r="HB39" s="39">
        <v>61680984</v>
      </c>
      <c r="HC39" s="76">
        <v>7974800</v>
      </c>
      <c r="HD39" s="76">
        <v>53706184</v>
      </c>
      <c r="HE39" s="76">
        <v>78</v>
      </c>
      <c r="HF39" s="14">
        <v>57378</v>
      </c>
      <c r="HG39" s="77">
        <f t="shared" si="4"/>
        <v>13</v>
      </c>
      <c r="HH39" s="39">
        <v>56777628</v>
      </c>
      <c r="HI39" s="76">
        <v>6986722</v>
      </c>
      <c r="HJ39" s="295">
        <v>49790906</v>
      </c>
      <c r="HK39" s="76">
        <v>72.14</v>
      </c>
      <c r="HL39" s="14">
        <v>57517</v>
      </c>
      <c r="HM39" s="77">
        <f t="shared" si="5"/>
        <v>20</v>
      </c>
      <c r="HN39" s="37"/>
      <c r="HO39" s="38"/>
    </row>
    <row r="40" spans="1:223" ht="18" customHeight="1">
      <c r="A40" s="65">
        <v>364</v>
      </c>
      <c r="B40" s="68" t="s">
        <v>219</v>
      </c>
      <c r="C40" s="33"/>
      <c r="D40" s="41"/>
      <c r="E40" s="75"/>
      <c r="F40" s="76"/>
      <c r="G40" s="76"/>
      <c r="H40" s="76"/>
      <c r="I40" s="76"/>
      <c r="J40" s="77"/>
      <c r="K40" s="38"/>
      <c r="L40" s="75"/>
      <c r="M40" s="76"/>
      <c r="N40" s="76"/>
      <c r="O40" s="76"/>
      <c r="P40" s="76"/>
      <c r="Q40" s="77"/>
      <c r="R40" s="75"/>
      <c r="S40" s="76"/>
      <c r="T40" s="76"/>
      <c r="U40" s="76"/>
      <c r="V40" s="76"/>
      <c r="W40" s="77"/>
      <c r="X40" s="37"/>
      <c r="Y40" s="38"/>
      <c r="AA40" s="75"/>
      <c r="AB40" s="76"/>
      <c r="AC40" s="76"/>
      <c r="AD40" s="76"/>
      <c r="AE40" s="76"/>
      <c r="AF40" s="77"/>
      <c r="AG40" s="38"/>
      <c r="AH40" s="75"/>
      <c r="AI40" s="76"/>
      <c r="AJ40" s="76"/>
      <c r="AK40" s="76"/>
      <c r="AL40" s="76"/>
      <c r="AM40" s="77"/>
      <c r="AN40" s="75"/>
      <c r="AO40" s="76"/>
      <c r="AP40" s="76"/>
      <c r="AQ40" s="76"/>
      <c r="AR40" s="76"/>
      <c r="AS40" s="77"/>
      <c r="AT40" s="37"/>
      <c r="AU40" s="38"/>
      <c r="AW40" s="75"/>
      <c r="AX40" s="76"/>
      <c r="AY40" s="76"/>
      <c r="AZ40" s="76"/>
      <c r="BA40" s="76"/>
      <c r="BB40" s="27"/>
      <c r="BC40" s="38"/>
      <c r="BD40" s="24"/>
      <c r="BE40" s="76"/>
      <c r="BF40" s="76"/>
      <c r="BG40" s="76"/>
      <c r="BH40" s="14"/>
      <c r="BI40" s="27"/>
      <c r="BJ40" s="24"/>
      <c r="BK40" s="76"/>
      <c r="BL40" s="76"/>
      <c r="BM40" s="76"/>
      <c r="BN40" s="14"/>
      <c r="BO40" s="27"/>
      <c r="BP40" s="37"/>
      <c r="BQ40" s="38"/>
      <c r="BS40" s="24"/>
      <c r="BT40" s="76"/>
      <c r="BU40" s="76"/>
      <c r="BV40" s="76"/>
      <c r="BW40" s="14"/>
      <c r="BX40" s="27"/>
      <c r="BY40" s="26"/>
      <c r="BZ40" s="24"/>
      <c r="CA40" s="76"/>
      <c r="CB40" s="76"/>
      <c r="CC40" s="76"/>
      <c r="CD40" s="14"/>
      <c r="CE40" s="77"/>
      <c r="CF40" s="24"/>
      <c r="CG40" s="76"/>
      <c r="CH40" s="76"/>
      <c r="CI40" s="76"/>
      <c r="CJ40" s="14"/>
      <c r="CK40" s="77"/>
      <c r="CL40" s="37"/>
      <c r="CM40" s="38"/>
      <c r="CO40" s="75"/>
      <c r="CP40" s="76"/>
      <c r="CQ40" s="76"/>
      <c r="CR40" s="76"/>
      <c r="CS40" s="76"/>
      <c r="CT40" s="45"/>
      <c r="CU40" s="26"/>
      <c r="CV40" s="75"/>
      <c r="CW40" s="76"/>
      <c r="CX40" s="76"/>
      <c r="CY40" s="76"/>
      <c r="CZ40" s="76"/>
      <c r="DA40" s="77"/>
      <c r="DB40" s="24"/>
      <c r="DC40" s="76"/>
      <c r="DD40" s="76"/>
      <c r="DE40" s="76"/>
      <c r="DF40" s="14"/>
      <c r="DG40" s="77"/>
      <c r="DH40" s="37"/>
      <c r="DI40" s="38"/>
      <c r="DK40" s="24"/>
      <c r="DL40" s="76"/>
      <c r="DM40" s="76"/>
      <c r="DN40" s="76"/>
      <c r="DO40" s="14"/>
      <c r="DP40" s="77"/>
      <c r="DQ40" s="26"/>
      <c r="DR40" s="24"/>
      <c r="DS40" s="76"/>
      <c r="DT40" s="76"/>
      <c r="DU40" s="76"/>
      <c r="DV40" s="14"/>
      <c r="DW40" s="77"/>
      <c r="DX40" s="24"/>
      <c r="DY40" s="76"/>
      <c r="DZ40" s="76"/>
      <c r="EA40" s="76"/>
      <c r="EB40" s="14"/>
      <c r="EC40" s="77"/>
      <c r="ED40" s="37"/>
      <c r="EE40" s="38"/>
      <c r="EG40" s="24"/>
      <c r="EH40" s="76"/>
      <c r="EI40" s="76"/>
      <c r="EJ40" s="76"/>
      <c r="EK40" s="14"/>
      <c r="EL40" s="77"/>
      <c r="EM40" s="26"/>
      <c r="EN40" s="24"/>
      <c r="EO40" s="76"/>
      <c r="EP40" s="76"/>
      <c r="EQ40" s="76"/>
      <c r="ER40" s="14"/>
      <c r="ES40" s="77"/>
      <c r="ET40" s="24"/>
      <c r="EU40" s="76"/>
      <c r="EV40" s="76"/>
      <c r="EW40" s="76"/>
      <c r="EX40" s="14"/>
      <c r="EY40" s="27"/>
      <c r="EZ40" s="37"/>
      <c r="FA40" s="38"/>
      <c r="FB40" s="9"/>
      <c r="FC40" s="24"/>
      <c r="FD40" s="76"/>
      <c r="FE40" s="76"/>
      <c r="FF40" s="76"/>
      <c r="FG40" s="14"/>
      <c r="FH40" s="77"/>
      <c r="FI40" s="26"/>
      <c r="FJ40" s="24"/>
      <c r="FK40" s="76"/>
      <c r="FL40" s="76"/>
      <c r="FM40" s="76"/>
      <c r="FN40" s="14"/>
      <c r="FO40" s="77"/>
      <c r="FP40" s="24"/>
      <c r="FQ40" s="76"/>
      <c r="FR40" s="76"/>
      <c r="FS40" s="76"/>
      <c r="FT40" s="14"/>
      <c r="FU40" s="77"/>
      <c r="FV40" s="37"/>
      <c r="FW40" s="38"/>
      <c r="FX40" s="9"/>
      <c r="FY40" s="75">
        <v>206924933</v>
      </c>
      <c r="FZ40" s="76">
        <v>5033240</v>
      </c>
      <c r="GA40" s="76">
        <v>201891693</v>
      </c>
      <c r="GB40" s="76">
        <v>207.5</v>
      </c>
      <c r="GC40" s="76">
        <v>81081</v>
      </c>
      <c r="GD40" s="77">
        <f t="shared" si="0"/>
        <v>1</v>
      </c>
      <c r="GE40" s="26"/>
      <c r="GF40" s="39">
        <v>320697811</v>
      </c>
      <c r="GG40" s="76">
        <v>27316337</v>
      </c>
      <c r="GH40" s="76">
        <v>293381474</v>
      </c>
      <c r="GI40" s="76">
        <v>318</v>
      </c>
      <c r="GJ40" s="14">
        <v>76882</v>
      </c>
      <c r="GK40" s="77">
        <f t="shared" si="1"/>
        <v>1</v>
      </c>
      <c r="GL40" s="39">
        <v>198051808</v>
      </c>
      <c r="GM40" s="76">
        <v>19627971</v>
      </c>
      <c r="GN40" s="295">
        <v>178423837</v>
      </c>
      <c r="GO40" s="76">
        <v>212.01000000000002</v>
      </c>
      <c r="GP40" s="14">
        <v>70132</v>
      </c>
      <c r="GQ40" s="77">
        <f t="shared" si="2"/>
        <v>2</v>
      </c>
      <c r="GR40" s="37"/>
      <c r="GS40" s="38"/>
      <c r="GU40" s="75">
        <v>365737994</v>
      </c>
      <c r="GV40" s="76">
        <v>74543805</v>
      </c>
      <c r="GW40" s="76">
        <v>291194189</v>
      </c>
      <c r="GX40" s="76">
        <v>321</v>
      </c>
      <c r="GY40" s="76">
        <v>75596</v>
      </c>
      <c r="GZ40" s="77">
        <f t="shared" si="3"/>
        <v>2</v>
      </c>
      <c r="HA40" s="26"/>
      <c r="HB40" s="39">
        <v>380322588</v>
      </c>
      <c r="HC40" s="76">
        <v>82421805</v>
      </c>
      <c r="HD40" s="76">
        <v>297900783</v>
      </c>
      <c r="HE40" s="76">
        <v>327.83</v>
      </c>
      <c r="HF40" s="14">
        <v>75725</v>
      </c>
      <c r="HG40" s="77">
        <f t="shared" si="4"/>
        <v>2</v>
      </c>
      <c r="HH40" s="39">
        <v>284357859</v>
      </c>
      <c r="HI40" s="76">
        <v>32313529</v>
      </c>
      <c r="HJ40" s="295">
        <v>252044330</v>
      </c>
      <c r="HK40" s="76">
        <v>268.81</v>
      </c>
      <c r="HL40" s="14">
        <v>78136</v>
      </c>
      <c r="HM40" s="77">
        <f t="shared" si="5"/>
        <v>1</v>
      </c>
      <c r="HN40" s="37"/>
      <c r="HO40" s="38"/>
    </row>
    <row r="41" spans="1:223" ht="18" customHeight="1">
      <c r="A41" s="65">
        <v>371</v>
      </c>
      <c r="B41" s="68" t="s">
        <v>193</v>
      </c>
      <c r="C41" s="33" t="s">
        <v>205</v>
      </c>
      <c r="D41" s="41"/>
      <c r="E41" s="75">
        <v>0</v>
      </c>
      <c r="F41" s="76">
        <v>0</v>
      </c>
      <c r="G41" s="76">
        <v>0</v>
      </c>
      <c r="H41" s="76">
        <v>0</v>
      </c>
      <c r="I41" s="76">
        <v>0</v>
      </c>
      <c r="J41" s="77">
        <v>39</v>
      </c>
      <c r="K41" s="38">
        <v>101.32383680421151</v>
      </c>
      <c r="L41" s="75">
        <v>0</v>
      </c>
      <c r="M41" s="76">
        <v>0</v>
      </c>
      <c r="N41" s="76">
        <v>0</v>
      </c>
      <c r="O41" s="76">
        <v>0</v>
      </c>
      <c r="P41" s="76">
        <v>0</v>
      </c>
      <c r="Q41" s="77">
        <v>39</v>
      </c>
      <c r="R41" s="75">
        <v>0</v>
      </c>
      <c r="S41" s="76">
        <v>0</v>
      </c>
      <c r="T41" s="76">
        <v>0</v>
      </c>
      <c r="U41" s="76">
        <v>0</v>
      </c>
      <c r="V41" s="76">
        <v>0</v>
      </c>
      <c r="W41" s="77">
        <v>39</v>
      </c>
      <c r="X41" s="37">
        <v>0</v>
      </c>
      <c r="Y41" s="38">
        <v>108.139077593373</v>
      </c>
      <c r="AA41" s="75">
        <v>0</v>
      </c>
      <c r="AB41" s="76">
        <v>0</v>
      </c>
      <c r="AC41" s="76">
        <v>0</v>
      </c>
      <c r="AD41" s="76">
        <v>0</v>
      </c>
      <c r="AE41" s="76">
        <v>0</v>
      </c>
      <c r="AF41" s="77">
        <v>39</v>
      </c>
      <c r="AG41" s="38">
        <v>0</v>
      </c>
      <c r="AH41" s="75">
        <v>0</v>
      </c>
      <c r="AI41" s="76">
        <v>0</v>
      </c>
      <c r="AJ41" s="76">
        <v>0</v>
      </c>
      <c r="AK41" s="76">
        <v>0</v>
      </c>
      <c r="AL41" s="76">
        <v>0</v>
      </c>
      <c r="AM41" s="77">
        <v>39</v>
      </c>
      <c r="AN41" s="75">
        <v>0</v>
      </c>
      <c r="AO41" s="76">
        <v>0</v>
      </c>
      <c r="AP41" s="76">
        <v>0</v>
      </c>
      <c r="AQ41" s="76">
        <v>0</v>
      </c>
      <c r="AR41" s="76">
        <v>0</v>
      </c>
      <c r="AS41" s="77">
        <v>39</v>
      </c>
      <c r="AT41" s="37">
        <v>0</v>
      </c>
      <c r="AU41" s="38">
        <v>0</v>
      </c>
      <c r="AW41" s="75">
        <v>0</v>
      </c>
      <c r="AX41" s="76">
        <v>0</v>
      </c>
      <c r="AY41" s="76">
        <v>0</v>
      </c>
      <c r="AZ41" s="76">
        <v>0</v>
      </c>
      <c r="BA41" s="76">
        <v>0</v>
      </c>
      <c r="BB41" s="27">
        <v>39</v>
      </c>
      <c r="BC41" s="38">
        <v>0</v>
      </c>
      <c r="BD41" s="24">
        <v>0</v>
      </c>
      <c r="BE41" s="76">
        <v>0</v>
      </c>
      <c r="BF41" s="76">
        <v>0</v>
      </c>
      <c r="BG41" s="76">
        <v>0</v>
      </c>
      <c r="BH41" s="14">
        <v>0</v>
      </c>
      <c r="BI41" s="27">
        <v>39</v>
      </c>
      <c r="BJ41" s="24">
        <v>0</v>
      </c>
      <c r="BK41" s="76">
        <v>0</v>
      </c>
      <c r="BL41" s="76">
        <v>0</v>
      </c>
      <c r="BM41" s="76">
        <v>0</v>
      </c>
      <c r="BN41" s="14">
        <v>0</v>
      </c>
      <c r="BO41" s="27">
        <v>39</v>
      </c>
      <c r="BP41" s="37">
        <v>0</v>
      </c>
      <c r="BQ41" s="38">
        <v>0</v>
      </c>
      <c r="BS41" s="24">
        <v>0</v>
      </c>
      <c r="BT41" s="76">
        <v>0</v>
      </c>
      <c r="BU41" s="76">
        <v>0</v>
      </c>
      <c r="BV41" s="76">
        <v>0</v>
      </c>
      <c r="BW41" s="14">
        <v>0</v>
      </c>
      <c r="BX41" s="27">
        <v>39</v>
      </c>
      <c r="BY41" s="26">
        <v>0</v>
      </c>
      <c r="BZ41" s="24">
        <v>0</v>
      </c>
      <c r="CA41" s="76">
        <v>0</v>
      </c>
      <c r="CB41" s="76">
        <v>0</v>
      </c>
      <c r="CC41" s="76">
        <v>0</v>
      </c>
      <c r="CD41" s="14">
        <v>0</v>
      </c>
      <c r="CE41" s="77">
        <v>39</v>
      </c>
      <c r="CF41" s="24">
        <v>0</v>
      </c>
      <c r="CG41" s="76">
        <v>0</v>
      </c>
      <c r="CH41" s="76">
        <v>0</v>
      </c>
      <c r="CI41" s="76">
        <v>0</v>
      </c>
      <c r="CJ41" s="14">
        <v>0</v>
      </c>
      <c r="CK41" s="77">
        <v>39</v>
      </c>
      <c r="CL41" s="37">
        <v>0</v>
      </c>
      <c r="CM41" s="38">
        <v>0</v>
      </c>
      <c r="CO41" s="75">
        <v>0</v>
      </c>
      <c r="CP41" s="76">
        <v>0</v>
      </c>
      <c r="CQ41" s="76">
        <v>0</v>
      </c>
      <c r="CR41" s="76">
        <v>0</v>
      </c>
      <c r="CS41" s="76">
        <v>0</v>
      </c>
      <c r="CT41" s="45">
        <v>39</v>
      </c>
      <c r="CU41" s="26">
        <v>0</v>
      </c>
      <c r="CV41" s="75">
        <v>10646137</v>
      </c>
      <c r="CW41" s="76">
        <v>1200000</v>
      </c>
      <c r="CX41" s="76">
        <v>9446137</v>
      </c>
      <c r="CY41" s="76">
        <v>16</v>
      </c>
      <c r="CZ41" s="76">
        <v>49199</v>
      </c>
      <c r="DA41" s="77">
        <v>4</v>
      </c>
      <c r="DB41" s="24">
        <v>7348332</v>
      </c>
      <c r="DC41" s="76">
        <v>592455</v>
      </c>
      <c r="DD41" s="76">
        <v>6755877</v>
      </c>
      <c r="DE41" s="76">
        <v>9.01</v>
      </c>
      <c r="DF41" s="14">
        <v>62485</v>
      </c>
      <c r="DG41" s="77">
        <v>1</v>
      </c>
      <c r="DH41" s="37">
        <v>127.00461391491697</v>
      </c>
      <c r="DI41" s="38">
        <v>0</v>
      </c>
      <c r="DK41" s="24">
        <v>12589802</v>
      </c>
      <c r="DL41" s="76">
        <v>1200000</v>
      </c>
      <c r="DM41" s="76">
        <v>11389802</v>
      </c>
      <c r="DN41" s="76">
        <v>19</v>
      </c>
      <c r="DO41" s="14">
        <v>49955</v>
      </c>
      <c r="DP41" s="77">
        <v>4</v>
      </c>
      <c r="DQ41" s="26">
        <v>0</v>
      </c>
      <c r="DR41" s="24">
        <v>12589802</v>
      </c>
      <c r="DS41" s="76">
        <v>1200000</v>
      </c>
      <c r="DT41" s="76">
        <v>11389802</v>
      </c>
      <c r="DU41" s="76">
        <v>19</v>
      </c>
      <c r="DV41" s="14">
        <v>49955</v>
      </c>
      <c r="DW41" s="77">
        <v>3</v>
      </c>
      <c r="DX41" s="24">
        <v>13087383.4</v>
      </c>
      <c r="DY41" s="76">
        <v>512594.4</v>
      </c>
      <c r="DZ41" s="76">
        <v>12574789</v>
      </c>
      <c r="EA41" s="76">
        <v>17.200000000000003</v>
      </c>
      <c r="EB41" s="14">
        <v>60924</v>
      </c>
      <c r="EC41" s="77">
        <v>1</v>
      </c>
      <c r="ED41" s="37">
        <v>121.9577619857872</v>
      </c>
      <c r="EE41" s="38">
        <v>97.501800432103707</v>
      </c>
      <c r="EG41" s="24">
        <v>13231838</v>
      </c>
      <c r="EH41" s="76">
        <v>1200000</v>
      </c>
      <c r="EI41" s="76">
        <v>12031838</v>
      </c>
      <c r="EJ41" s="76">
        <v>19</v>
      </c>
      <c r="EK41" s="14">
        <v>52771</v>
      </c>
      <c r="EL41" s="77">
        <v>3</v>
      </c>
      <c r="EM41" s="26">
        <v>105.63707336602943</v>
      </c>
      <c r="EN41" s="24">
        <v>13231838</v>
      </c>
      <c r="EO41" s="76">
        <v>1200000</v>
      </c>
      <c r="EP41" s="76">
        <v>12031838</v>
      </c>
      <c r="EQ41" s="76">
        <v>19</v>
      </c>
      <c r="ER41" s="14">
        <v>52771</v>
      </c>
      <c r="ES41" s="77">
        <v>4</v>
      </c>
      <c r="ET41" s="24">
        <v>14620169</v>
      </c>
      <c r="EU41" s="76">
        <v>1087980</v>
      </c>
      <c r="EV41" s="76">
        <v>13532189</v>
      </c>
      <c r="EW41" s="76">
        <v>18.16</v>
      </c>
      <c r="EX41" s="14">
        <v>62097</v>
      </c>
      <c r="EY41" s="27">
        <v>2</v>
      </c>
      <c r="EZ41" s="37">
        <v>117.6725853214834</v>
      </c>
      <c r="FA41" s="38">
        <v>101.92534961591491</v>
      </c>
      <c r="FB41" s="9"/>
      <c r="FC41" s="24">
        <v>14328698</v>
      </c>
      <c r="FD41" s="76">
        <v>1200000</v>
      </c>
      <c r="FE41" s="76">
        <v>13128698</v>
      </c>
      <c r="FF41" s="76">
        <v>19</v>
      </c>
      <c r="FG41" s="14">
        <v>57582</v>
      </c>
      <c r="FH41" s="77">
        <v>2</v>
      </c>
      <c r="FI41" s="26">
        <v>109.11674972996532</v>
      </c>
      <c r="FJ41" s="24">
        <v>14328698</v>
      </c>
      <c r="FK41" s="76">
        <v>668000</v>
      </c>
      <c r="FL41" s="76">
        <v>13660698</v>
      </c>
      <c r="FM41" s="76">
        <v>19</v>
      </c>
      <c r="FN41" s="14">
        <v>59915</v>
      </c>
      <c r="FO41" s="77">
        <v>2</v>
      </c>
      <c r="FP41" s="24">
        <v>14466385</v>
      </c>
      <c r="FQ41" s="76">
        <v>654325</v>
      </c>
      <c r="FR41" s="76">
        <v>13812060</v>
      </c>
      <c r="FS41" s="76">
        <v>18.240000000000002</v>
      </c>
      <c r="FT41" s="14">
        <v>63103</v>
      </c>
      <c r="FU41" s="77">
        <v>2</v>
      </c>
      <c r="FV41" s="37">
        <v>105.32087123424851</v>
      </c>
      <c r="FW41" s="38">
        <v>101.62004605697538</v>
      </c>
      <c r="FX41" s="9"/>
      <c r="FY41" s="75">
        <v>16986049</v>
      </c>
      <c r="FZ41" s="76">
        <v>700000</v>
      </c>
      <c r="GA41" s="76">
        <v>16286049</v>
      </c>
      <c r="GB41" s="76">
        <v>19</v>
      </c>
      <c r="GC41" s="76">
        <v>71430</v>
      </c>
      <c r="GD41" s="77">
        <f t="shared" si="0"/>
        <v>2</v>
      </c>
      <c r="GE41" s="26"/>
      <c r="GF41" s="39">
        <v>16986049</v>
      </c>
      <c r="GG41" s="76">
        <v>700000</v>
      </c>
      <c r="GH41" s="76">
        <v>16286049</v>
      </c>
      <c r="GI41" s="76">
        <v>19</v>
      </c>
      <c r="GJ41" s="14">
        <v>71430</v>
      </c>
      <c r="GK41" s="77">
        <f t="shared" si="1"/>
        <v>2</v>
      </c>
      <c r="GL41" s="39">
        <v>15266854</v>
      </c>
      <c r="GM41" s="76">
        <v>37875</v>
      </c>
      <c r="GN41" s="295">
        <v>15228979</v>
      </c>
      <c r="GO41" s="76">
        <v>18.399999999999999</v>
      </c>
      <c r="GP41" s="14">
        <v>68972</v>
      </c>
      <c r="GQ41" s="77">
        <f t="shared" si="2"/>
        <v>3</v>
      </c>
      <c r="GR41" s="37">
        <v>127.00461391491697</v>
      </c>
      <c r="GS41" s="38">
        <v>0</v>
      </c>
      <c r="GU41" s="75">
        <v>19462623</v>
      </c>
      <c r="GV41" s="76">
        <v>700000</v>
      </c>
      <c r="GW41" s="76">
        <v>18762623</v>
      </c>
      <c r="GX41" s="76">
        <v>20</v>
      </c>
      <c r="GY41" s="76">
        <v>78178</v>
      </c>
      <c r="GZ41" s="77">
        <f t="shared" si="3"/>
        <v>1</v>
      </c>
      <c r="HA41" s="26"/>
      <c r="HB41" s="39">
        <v>19462623</v>
      </c>
      <c r="HC41" s="76">
        <v>700000</v>
      </c>
      <c r="HD41" s="76">
        <v>18762623</v>
      </c>
      <c r="HE41" s="76">
        <v>20</v>
      </c>
      <c r="HF41" s="14">
        <v>78178</v>
      </c>
      <c r="HG41" s="77">
        <f t="shared" si="4"/>
        <v>1</v>
      </c>
      <c r="HH41" s="39">
        <v>18094945</v>
      </c>
      <c r="HI41" s="76">
        <v>28125</v>
      </c>
      <c r="HJ41" s="295">
        <v>18066820</v>
      </c>
      <c r="HK41" s="76">
        <v>19.53</v>
      </c>
      <c r="HL41" s="14">
        <v>77090</v>
      </c>
      <c r="HM41" s="77">
        <f t="shared" si="5"/>
        <v>3</v>
      </c>
      <c r="HN41" s="37"/>
      <c r="HO41" s="38"/>
    </row>
    <row r="42" spans="1:223" ht="18" customHeight="1">
      <c r="A42" s="65">
        <v>372</v>
      </c>
      <c r="B42" s="68" t="s">
        <v>54</v>
      </c>
      <c r="C42" s="33" t="s">
        <v>55</v>
      </c>
      <c r="D42" s="41"/>
      <c r="E42" s="75">
        <v>23910000</v>
      </c>
      <c r="F42" s="76">
        <v>10418000</v>
      </c>
      <c r="G42" s="76">
        <v>13492000</v>
      </c>
      <c r="H42" s="76">
        <v>44</v>
      </c>
      <c r="I42" s="76">
        <v>25553</v>
      </c>
      <c r="J42" s="77">
        <v>33</v>
      </c>
      <c r="K42" s="38">
        <v>100</v>
      </c>
      <c r="L42" s="75">
        <v>24461656</v>
      </c>
      <c r="M42" s="76">
        <v>10418000</v>
      </c>
      <c r="N42" s="76">
        <v>14043656</v>
      </c>
      <c r="O42" s="76">
        <v>44</v>
      </c>
      <c r="P42" s="76">
        <v>26598</v>
      </c>
      <c r="Q42" s="77">
        <v>30</v>
      </c>
      <c r="R42" s="75">
        <v>25045009</v>
      </c>
      <c r="S42" s="76">
        <v>10962820</v>
      </c>
      <c r="T42" s="76">
        <v>14082189</v>
      </c>
      <c r="U42" s="76">
        <v>38</v>
      </c>
      <c r="V42" s="76">
        <v>30882</v>
      </c>
      <c r="W42" s="77">
        <v>25</v>
      </c>
      <c r="X42" s="37">
        <v>116.1064741709903</v>
      </c>
      <c r="Y42" s="38">
        <v>109.139077593373</v>
      </c>
      <c r="AA42" s="75">
        <v>25592140</v>
      </c>
      <c r="AB42" s="76">
        <v>10445140</v>
      </c>
      <c r="AC42" s="76">
        <v>15147000</v>
      </c>
      <c r="AD42" s="76">
        <v>45</v>
      </c>
      <c r="AE42" s="76">
        <v>28050</v>
      </c>
      <c r="AF42" s="77">
        <v>27</v>
      </c>
      <c r="AG42" s="38">
        <v>109.77184674989238</v>
      </c>
      <c r="AH42" s="75">
        <v>25680498</v>
      </c>
      <c r="AI42" s="76">
        <v>10445140</v>
      </c>
      <c r="AJ42" s="76">
        <v>15235358</v>
      </c>
      <c r="AK42" s="76">
        <v>45</v>
      </c>
      <c r="AL42" s="76">
        <v>28214</v>
      </c>
      <c r="AM42" s="77">
        <v>29</v>
      </c>
      <c r="AN42" s="75">
        <v>25279049</v>
      </c>
      <c r="AO42" s="76">
        <v>9946380</v>
      </c>
      <c r="AP42" s="76">
        <v>15332669</v>
      </c>
      <c r="AQ42" s="76">
        <v>42</v>
      </c>
      <c r="AR42" s="76">
        <v>30422</v>
      </c>
      <c r="AS42" s="77">
        <v>28</v>
      </c>
      <c r="AT42" s="37">
        <v>107.82590203445098</v>
      </c>
      <c r="AU42" s="38">
        <v>98.510459167152391</v>
      </c>
      <c r="AW42" s="75">
        <v>26523576</v>
      </c>
      <c r="AX42" s="76">
        <v>10611274</v>
      </c>
      <c r="AY42" s="76">
        <v>15912302</v>
      </c>
      <c r="AZ42" s="76">
        <v>45</v>
      </c>
      <c r="BA42" s="76">
        <v>29467</v>
      </c>
      <c r="BB42" s="27">
        <v>30</v>
      </c>
      <c r="BC42" s="38">
        <v>105.05169340463458</v>
      </c>
      <c r="BD42" s="24">
        <v>26603138</v>
      </c>
      <c r="BE42" s="76">
        <v>10611274</v>
      </c>
      <c r="BF42" s="76">
        <v>15991864</v>
      </c>
      <c r="BG42" s="76">
        <v>45</v>
      </c>
      <c r="BH42" s="14">
        <v>29615</v>
      </c>
      <c r="BI42" s="27">
        <v>31</v>
      </c>
      <c r="BJ42" s="24">
        <v>29068555</v>
      </c>
      <c r="BK42" s="76">
        <v>13080691</v>
      </c>
      <c r="BL42" s="76">
        <v>15987864</v>
      </c>
      <c r="BM42" s="76">
        <v>42</v>
      </c>
      <c r="BN42" s="14">
        <v>31722</v>
      </c>
      <c r="BO42" s="27">
        <v>28</v>
      </c>
      <c r="BP42" s="37">
        <v>107.11463785243964</v>
      </c>
      <c r="BQ42" s="38">
        <v>104.27322332522517</v>
      </c>
      <c r="BS42" s="24">
        <v>29212032</v>
      </c>
      <c r="BT42" s="76">
        <v>12148896</v>
      </c>
      <c r="BU42" s="76">
        <v>17063136</v>
      </c>
      <c r="BV42" s="76">
        <v>45</v>
      </c>
      <c r="BW42" s="14">
        <v>31598</v>
      </c>
      <c r="BX42" s="27">
        <v>28</v>
      </c>
      <c r="BY42" s="26">
        <v>107.23181864458546</v>
      </c>
      <c r="BZ42" s="24">
        <v>29354225</v>
      </c>
      <c r="CA42" s="76">
        <v>12148896</v>
      </c>
      <c r="CB42" s="76">
        <v>17205329</v>
      </c>
      <c r="CC42" s="76">
        <v>45</v>
      </c>
      <c r="CD42" s="14">
        <v>31862</v>
      </c>
      <c r="CE42" s="77">
        <v>29</v>
      </c>
      <c r="CF42" s="24">
        <v>28927825</v>
      </c>
      <c r="CG42" s="76">
        <v>11715496</v>
      </c>
      <c r="CH42" s="76">
        <v>17212329</v>
      </c>
      <c r="CI42" s="76">
        <v>41</v>
      </c>
      <c r="CJ42" s="14">
        <v>34984</v>
      </c>
      <c r="CK42" s="77">
        <v>25</v>
      </c>
      <c r="CL42" s="37">
        <v>109.79850605737242</v>
      </c>
      <c r="CM42" s="38">
        <v>110.28308429481118</v>
      </c>
      <c r="CO42" s="75">
        <v>31134869</v>
      </c>
      <c r="CP42" s="76">
        <v>12991296</v>
      </c>
      <c r="CQ42" s="76">
        <v>18143573</v>
      </c>
      <c r="CR42" s="76">
        <v>45</v>
      </c>
      <c r="CS42" s="76">
        <v>33599</v>
      </c>
      <c r="CT42" s="45">
        <v>28</v>
      </c>
      <c r="CU42" s="26">
        <v>106.33267928349896</v>
      </c>
      <c r="CV42" s="75">
        <v>31407023</v>
      </c>
      <c r="CW42" s="76">
        <v>12991296</v>
      </c>
      <c r="CX42" s="76">
        <v>18415727</v>
      </c>
      <c r="CY42" s="76">
        <v>45</v>
      </c>
      <c r="CZ42" s="76">
        <v>34103</v>
      </c>
      <c r="DA42" s="77">
        <v>32</v>
      </c>
      <c r="DB42" s="24">
        <v>31074571</v>
      </c>
      <c r="DC42" s="76">
        <v>12638553</v>
      </c>
      <c r="DD42" s="76">
        <v>18436018</v>
      </c>
      <c r="DE42" s="76">
        <v>41</v>
      </c>
      <c r="DF42" s="14">
        <v>37472</v>
      </c>
      <c r="DG42" s="77">
        <v>29</v>
      </c>
      <c r="DH42" s="37">
        <v>109.87889628478433</v>
      </c>
      <c r="DI42" s="38">
        <v>107.11182254745026</v>
      </c>
      <c r="DK42" s="24">
        <v>33914390</v>
      </c>
      <c r="DL42" s="76">
        <v>13680096</v>
      </c>
      <c r="DM42" s="76">
        <v>20234294</v>
      </c>
      <c r="DN42" s="76">
        <v>46</v>
      </c>
      <c r="DO42" s="14">
        <v>36656</v>
      </c>
      <c r="DP42" s="77">
        <v>31</v>
      </c>
      <c r="DQ42" s="26">
        <v>109.09848507396053</v>
      </c>
      <c r="DR42" s="24">
        <v>33914390</v>
      </c>
      <c r="DS42" s="76">
        <v>13680096</v>
      </c>
      <c r="DT42" s="76">
        <v>20234294</v>
      </c>
      <c r="DU42" s="76">
        <v>46</v>
      </c>
      <c r="DV42" s="14">
        <v>36656</v>
      </c>
      <c r="DW42" s="77">
        <v>32</v>
      </c>
      <c r="DX42" s="24">
        <v>33669567</v>
      </c>
      <c r="DY42" s="76">
        <v>13435273</v>
      </c>
      <c r="DZ42" s="76">
        <v>20234294</v>
      </c>
      <c r="EA42" s="76">
        <v>40</v>
      </c>
      <c r="EB42" s="14">
        <v>42155</v>
      </c>
      <c r="EC42" s="77">
        <v>26</v>
      </c>
      <c r="ED42" s="37">
        <v>115.00163683980796</v>
      </c>
      <c r="EE42" s="38">
        <v>112.49733134073441</v>
      </c>
      <c r="EG42" s="24">
        <v>36650494</v>
      </c>
      <c r="EH42" s="76">
        <v>16068096</v>
      </c>
      <c r="EI42" s="76">
        <v>20582398</v>
      </c>
      <c r="EJ42" s="76">
        <v>44</v>
      </c>
      <c r="EK42" s="14">
        <v>38982</v>
      </c>
      <c r="EL42" s="77">
        <v>29</v>
      </c>
      <c r="EM42" s="26">
        <v>106.34548232213008</v>
      </c>
      <c r="EN42" s="24">
        <v>36650494</v>
      </c>
      <c r="EO42" s="76">
        <v>16068096</v>
      </c>
      <c r="EP42" s="76">
        <v>20582398</v>
      </c>
      <c r="EQ42" s="76">
        <v>44</v>
      </c>
      <c r="ER42" s="14">
        <v>38982</v>
      </c>
      <c r="ES42" s="77">
        <v>31</v>
      </c>
      <c r="ET42" s="24">
        <v>35794513</v>
      </c>
      <c r="EU42" s="76">
        <v>15300642</v>
      </c>
      <c r="EV42" s="76">
        <v>20493871</v>
      </c>
      <c r="EW42" s="76">
        <v>41</v>
      </c>
      <c r="EX42" s="14">
        <v>41654</v>
      </c>
      <c r="EY42" s="27">
        <v>34</v>
      </c>
      <c r="EZ42" s="37">
        <v>106.85444564157815</v>
      </c>
      <c r="FA42" s="38">
        <v>98.811528881508721</v>
      </c>
      <c r="FB42" s="9"/>
      <c r="FC42" s="24">
        <v>37360047</v>
      </c>
      <c r="FD42" s="76">
        <v>16099296</v>
      </c>
      <c r="FE42" s="76">
        <v>21260751</v>
      </c>
      <c r="FF42" s="76">
        <v>42</v>
      </c>
      <c r="FG42" s="14">
        <v>42184</v>
      </c>
      <c r="FH42" s="77">
        <v>30</v>
      </c>
      <c r="FI42" s="26">
        <v>108.21404750910676</v>
      </c>
      <c r="FJ42" s="24">
        <v>37360047</v>
      </c>
      <c r="FK42" s="76">
        <v>16099296</v>
      </c>
      <c r="FL42" s="76">
        <v>21260751</v>
      </c>
      <c r="FM42" s="76">
        <v>42</v>
      </c>
      <c r="FN42" s="14">
        <v>42184</v>
      </c>
      <c r="FO42" s="77">
        <v>31</v>
      </c>
      <c r="FP42" s="24">
        <v>37850821</v>
      </c>
      <c r="FQ42" s="76">
        <v>16575070</v>
      </c>
      <c r="FR42" s="76">
        <v>21275751</v>
      </c>
      <c r="FS42" s="76">
        <v>41</v>
      </c>
      <c r="FT42" s="14">
        <v>43243</v>
      </c>
      <c r="FU42" s="77">
        <v>35</v>
      </c>
      <c r="FV42" s="37">
        <v>102.51043049497439</v>
      </c>
      <c r="FW42" s="38">
        <v>103.81475968694483</v>
      </c>
      <c r="FX42" s="9"/>
      <c r="FY42" s="75">
        <v>43284149</v>
      </c>
      <c r="FZ42" s="76">
        <v>17917296</v>
      </c>
      <c r="GA42" s="76">
        <v>25366853</v>
      </c>
      <c r="GB42" s="76">
        <v>48</v>
      </c>
      <c r="GC42" s="76">
        <v>44040</v>
      </c>
      <c r="GD42" s="77">
        <f t="shared" si="0"/>
        <v>35</v>
      </c>
      <c r="GE42" s="26"/>
      <c r="GF42" s="39">
        <v>42703882</v>
      </c>
      <c r="GG42" s="76">
        <v>17337029</v>
      </c>
      <c r="GH42" s="76">
        <v>25366853</v>
      </c>
      <c r="GI42" s="76">
        <v>48</v>
      </c>
      <c r="GJ42" s="14">
        <v>44040</v>
      </c>
      <c r="GK42" s="77">
        <f t="shared" si="1"/>
        <v>37</v>
      </c>
      <c r="GL42" s="39">
        <v>41385445</v>
      </c>
      <c r="GM42" s="76">
        <v>17272632</v>
      </c>
      <c r="GN42" s="295">
        <v>24112813</v>
      </c>
      <c r="GO42" s="76">
        <v>44</v>
      </c>
      <c r="GP42" s="14">
        <v>45668</v>
      </c>
      <c r="GQ42" s="77">
        <f t="shared" si="2"/>
        <v>38</v>
      </c>
      <c r="GR42" s="37">
        <v>109.87889628478433</v>
      </c>
      <c r="GS42" s="38">
        <v>107.11182254745026</v>
      </c>
      <c r="GU42" s="75">
        <v>48661592</v>
      </c>
      <c r="GV42" s="76">
        <v>20188896</v>
      </c>
      <c r="GW42" s="76">
        <v>28472696</v>
      </c>
      <c r="GX42" s="76">
        <v>48</v>
      </c>
      <c r="GY42" s="76">
        <v>49432</v>
      </c>
      <c r="GZ42" s="77">
        <f t="shared" si="3"/>
        <v>31</v>
      </c>
      <c r="HA42" s="26"/>
      <c r="HB42" s="39">
        <v>48661592</v>
      </c>
      <c r="HC42" s="76">
        <v>20188896</v>
      </c>
      <c r="HD42" s="76">
        <v>28472696</v>
      </c>
      <c r="HE42" s="76">
        <v>48</v>
      </c>
      <c r="HF42" s="14">
        <v>49432</v>
      </c>
      <c r="HG42" s="77">
        <f t="shared" si="4"/>
        <v>31</v>
      </c>
      <c r="HH42" s="39">
        <v>46443629</v>
      </c>
      <c r="HI42" s="76">
        <v>19556123</v>
      </c>
      <c r="HJ42" s="295">
        <v>26887506</v>
      </c>
      <c r="HK42" s="76">
        <v>43</v>
      </c>
      <c r="HL42" s="14">
        <v>52108</v>
      </c>
      <c r="HM42" s="77">
        <f t="shared" si="5"/>
        <v>32</v>
      </c>
      <c r="HN42" s="37"/>
      <c r="HO42" s="38"/>
    </row>
    <row r="43" spans="1:223" ht="18" customHeight="1">
      <c r="A43" s="65">
        <v>373</v>
      </c>
      <c r="B43" s="68" t="s">
        <v>188</v>
      </c>
      <c r="C43" s="33"/>
      <c r="D43" s="41"/>
      <c r="E43" s="75"/>
      <c r="F43" s="76"/>
      <c r="G43" s="76"/>
      <c r="H43" s="76"/>
      <c r="I43" s="76"/>
      <c r="J43" s="77"/>
      <c r="K43" s="38"/>
      <c r="L43" s="75"/>
      <c r="M43" s="76"/>
      <c r="N43" s="76"/>
      <c r="O43" s="76"/>
      <c r="P43" s="76"/>
      <c r="Q43" s="77"/>
      <c r="R43" s="75"/>
      <c r="S43" s="76"/>
      <c r="T43" s="76"/>
      <c r="U43" s="76"/>
      <c r="V43" s="76"/>
      <c r="W43" s="77"/>
      <c r="X43" s="37"/>
      <c r="Y43" s="38"/>
      <c r="AA43" s="75"/>
      <c r="AB43" s="76"/>
      <c r="AC43" s="76"/>
      <c r="AD43" s="76"/>
      <c r="AE43" s="76"/>
      <c r="AF43" s="77"/>
      <c r="AG43" s="38"/>
      <c r="AH43" s="75"/>
      <c r="AI43" s="76"/>
      <c r="AJ43" s="76"/>
      <c r="AK43" s="76"/>
      <c r="AL43" s="76"/>
      <c r="AM43" s="77"/>
      <c r="AN43" s="75"/>
      <c r="AO43" s="76"/>
      <c r="AP43" s="76"/>
      <c r="AQ43" s="76"/>
      <c r="AR43" s="76"/>
      <c r="AS43" s="77"/>
      <c r="AT43" s="37"/>
      <c r="AU43" s="38"/>
      <c r="AW43" s="75"/>
      <c r="AX43" s="76"/>
      <c r="AY43" s="76"/>
      <c r="AZ43" s="76"/>
      <c r="BA43" s="76"/>
      <c r="BB43" s="27"/>
      <c r="BC43" s="38"/>
      <c r="BD43" s="24"/>
      <c r="BE43" s="76"/>
      <c r="BF43" s="76"/>
      <c r="BG43" s="76"/>
      <c r="BH43" s="14"/>
      <c r="BI43" s="27"/>
      <c r="BJ43" s="24"/>
      <c r="BK43" s="76"/>
      <c r="BL43" s="76"/>
      <c r="BM43" s="76"/>
      <c r="BN43" s="14"/>
      <c r="BO43" s="27"/>
      <c r="BP43" s="37"/>
      <c r="BQ43" s="38"/>
      <c r="BS43" s="24"/>
      <c r="BT43" s="76"/>
      <c r="BU43" s="76"/>
      <c r="BV43" s="76"/>
      <c r="BW43" s="14"/>
      <c r="BX43" s="27"/>
      <c r="BY43" s="26"/>
      <c r="BZ43" s="24"/>
      <c r="CA43" s="76"/>
      <c r="CB43" s="76"/>
      <c r="CC43" s="76"/>
      <c r="CD43" s="14"/>
      <c r="CE43" s="77"/>
      <c r="CF43" s="24"/>
      <c r="CG43" s="76"/>
      <c r="CH43" s="76"/>
      <c r="CI43" s="76"/>
      <c r="CJ43" s="14"/>
      <c r="CK43" s="77"/>
      <c r="CL43" s="37"/>
      <c r="CM43" s="38"/>
      <c r="CO43" s="75"/>
      <c r="CP43" s="76"/>
      <c r="CQ43" s="76"/>
      <c r="CR43" s="76"/>
      <c r="CS43" s="76"/>
      <c r="CT43" s="45"/>
      <c r="CU43" s="26"/>
      <c r="CV43" s="75"/>
      <c r="CW43" s="76"/>
      <c r="CX43" s="76"/>
      <c r="CY43" s="76"/>
      <c r="CZ43" s="76"/>
      <c r="DA43" s="77"/>
      <c r="DB43" s="24"/>
      <c r="DC43" s="76"/>
      <c r="DD43" s="76"/>
      <c r="DE43" s="76"/>
      <c r="DF43" s="14"/>
      <c r="DG43" s="77"/>
      <c r="DH43" s="37"/>
      <c r="DI43" s="38"/>
      <c r="DK43" s="24"/>
      <c r="DL43" s="76"/>
      <c r="DM43" s="76"/>
      <c r="DN43" s="76"/>
      <c r="DO43" s="14"/>
      <c r="DP43" s="77"/>
      <c r="DQ43" s="26"/>
      <c r="DR43" s="24"/>
      <c r="DS43" s="76"/>
      <c r="DT43" s="76"/>
      <c r="DU43" s="76"/>
      <c r="DV43" s="14"/>
      <c r="DW43" s="77"/>
      <c r="DX43" s="24"/>
      <c r="DY43" s="76"/>
      <c r="DZ43" s="76"/>
      <c r="EA43" s="76"/>
      <c r="EB43" s="14"/>
      <c r="EC43" s="77"/>
      <c r="ED43" s="37"/>
      <c r="EE43" s="38"/>
      <c r="EG43" s="24"/>
      <c r="EH43" s="76"/>
      <c r="EI43" s="76"/>
      <c r="EJ43" s="76"/>
      <c r="EK43" s="14"/>
      <c r="EL43" s="77"/>
      <c r="EM43" s="26"/>
      <c r="EN43" s="24"/>
      <c r="EO43" s="76"/>
      <c r="EP43" s="76"/>
      <c r="EQ43" s="76"/>
      <c r="ER43" s="14"/>
      <c r="ES43" s="77"/>
      <c r="ET43" s="24"/>
      <c r="EU43" s="76"/>
      <c r="EV43" s="76"/>
      <c r="EW43" s="76"/>
      <c r="EX43" s="14"/>
      <c r="EY43" s="27"/>
      <c r="EZ43" s="37"/>
      <c r="FA43" s="38"/>
      <c r="FB43" s="9"/>
      <c r="FC43" s="24"/>
      <c r="FD43" s="76"/>
      <c r="FE43" s="76"/>
      <c r="FF43" s="76"/>
      <c r="FG43" s="14"/>
      <c r="FH43" s="77"/>
      <c r="FI43" s="26"/>
      <c r="FJ43" s="24"/>
      <c r="FK43" s="76"/>
      <c r="FL43" s="76"/>
      <c r="FM43" s="76"/>
      <c r="FN43" s="14"/>
      <c r="FO43" s="77"/>
      <c r="FP43" s="24"/>
      <c r="FQ43" s="76"/>
      <c r="FR43" s="76"/>
      <c r="FS43" s="76"/>
      <c r="FT43" s="14"/>
      <c r="FU43" s="77"/>
      <c r="FV43" s="37"/>
      <c r="FW43" s="38"/>
      <c r="FX43" s="9"/>
      <c r="FY43" s="75">
        <v>15140797</v>
      </c>
      <c r="FZ43" s="76">
        <v>300000</v>
      </c>
      <c r="GA43" s="76">
        <v>14840797</v>
      </c>
      <c r="GB43" s="76">
        <v>23</v>
      </c>
      <c r="GC43" s="76">
        <v>53771</v>
      </c>
      <c r="GD43" s="77">
        <f t="shared" si="0"/>
        <v>11</v>
      </c>
      <c r="GE43" s="26"/>
      <c r="GF43" s="39"/>
      <c r="GG43" s="76"/>
      <c r="GH43" s="76"/>
      <c r="GI43" s="76"/>
      <c r="GJ43" s="14"/>
      <c r="GK43" s="77"/>
      <c r="GL43" s="39"/>
      <c r="GM43" s="76"/>
      <c r="GN43" s="295"/>
      <c r="GO43" s="76"/>
      <c r="GP43" s="14"/>
      <c r="GQ43" s="77"/>
      <c r="GR43" s="37">
        <v>103.71916419036837</v>
      </c>
      <c r="GS43" s="38">
        <v>0</v>
      </c>
      <c r="GU43" s="75"/>
      <c r="GV43" s="76"/>
      <c r="GW43" s="76"/>
      <c r="GX43" s="76"/>
      <c r="GY43" s="76"/>
      <c r="GZ43" s="77"/>
      <c r="HA43" s="26"/>
      <c r="HB43" s="39"/>
      <c r="HC43" s="76"/>
      <c r="HD43" s="76"/>
      <c r="HE43" s="76"/>
      <c r="HF43" s="14"/>
      <c r="HG43" s="77"/>
      <c r="HH43" s="39"/>
      <c r="HI43" s="76"/>
      <c r="HJ43" s="295"/>
      <c r="HK43" s="76"/>
      <c r="HL43" s="14"/>
      <c r="HM43" s="77"/>
      <c r="HN43" s="37"/>
      <c r="HO43" s="38"/>
    </row>
    <row r="44" spans="1:223" ht="18" customHeight="1">
      <c r="A44" s="65">
        <v>374</v>
      </c>
      <c r="B44" s="68" t="s">
        <v>56</v>
      </c>
      <c r="C44" s="33" t="s">
        <v>57</v>
      </c>
      <c r="D44" s="41"/>
      <c r="E44" s="75">
        <v>119651000</v>
      </c>
      <c r="F44" s="76">
        <v>1230000</v>
      </c>
      <c r="G44" s="76">
        <v>118421000</v>
      </c>
      <c r="H44" s="76">
        <v>377</v>
      </c>
      <c r="I44" s="76">
        <v>26176</v>
      </c>
      <c r="J44" s="77">
        <v>29</v>
      </c>
      <c r="K44" s="38">
        <v>101.32383680421151</v>
      </c>
      <c r="L44" s="75">
        <v>119651000</v>
      </c>
      <c r="M44" s="76">
        <v>1230000</v>
      </c>
      <c r="N44" s="76">
        <v>118421000</v>
      </c>
      <c r="O44" s="76">
        <v>377</v>
      </c>
      <c r="P44" s="76">
        <v>26176</v>
      </c>
      <c r="Q44" s="77">
        <v>31</v>
      </c>
      <c r="R44" s="75">
        <v>119651000</v>
      </c>
      <c r="S44" s="76">
        <v>1230000</v>
      </c>
      <c r="T44" s="76">
        <v>118421000</v>
      </c>
      <c r="U44" s="76">
        <v>348</v>
      </c>
      <c r="V44" s="76">
        <v>28358</v>
      </c>
      <c r="W44" s="77">
        <v>32</v>
      </c>
      <c r="X44" s="37">
        <v>108.33588019559903</v>
      </c>
      <c r="Y44" s="38">
        <v>111.139077593373</v>
      </c>
      <c r="AA44" s="75">
        <v>122044020</v>
      </c>
      <c r="AB44" s="76">
        <v>1254600</v>
      </c>
      <c r="AC44" s="76">
        <v>120789420</v>
      </c>
      <c r="AD44" s="76">
        <v>377</v>
      </c>
      <c r="AE44" s="76">
        <v>26700</v>
      </c>
      <c r="AF44" s="77">
        <v>31</v>
      </c>
      <c r="AG44" s="38">
        <v>102.00183374083129</v>
      </c>
      <c r="AH44" s="75">
        <v>122720333</v>
      </c>
      <c r="AI44" s="76">
        <v>5004600</v>
      </c>
      <c r="AJ44" s="76">
        <v>117715733</v>
      </c>
      <c r="AK44" s="76">
        <v>377</v>
      </c>
      <c r="AL44" s="76">
        <v>26020</v>
      </c>
      <c r="AM44" s="77">
        <v>34</v>
      </c>
      <c r="AN44" s="75">
        <v>125720333</v>
      </c>
      <c r="AO44" s="76">
        <v>5004600</v>
      </c>
      <c r="AP44" s="76">
        <v>120715733</v>
      </c>
      <c r="AQ44" s="76">
        <v>331</v>
      </c>
      <c r="AR44" s="76">
        <v>30392</v>
      </c>
      <c r="AS44" s="77">
        <v>29</v>
      </c>
      <c r="AT44" s="37">
        <v>116.80245964642582</v>
      </c>
      <c r="AU44" s="38">
        <v>107.1725791663728</v>
      </c>
      <c r="AW44" s="75">
        <v>128210295</v>
      </c>
      <c r="AX44" s="76">
        <v>1317989</v>
      </c>
      <c r="AY44" s="76">
        <v>126892306</v>
      </c>
      <c r="AZ44" s="76">
        <v>369</v>
      </c>
      <c r="BA44" s="76">
        <v>28657</v>
      </c>
      <c r="BB44" s="27">
        <v>33</v>
      </c>
      <c r="BC44" s="38">
        <v>107.32958801498127</v>
      </c>
      <c r="BD44" s="24">
        <v>129441757</v>
      </c>
      <c r="BE44" s="76">
        <v>1914989</v>
      </c>
      <c r="BF44" s="76">
        <v>127526768</v>
      </c>
      <c r="BG44" s="76">
        <v>369</v>
      </c>
      <c r="BH44" s="14">
        <v>28800</v>
      </c>
      <c r="BI44" s="27">
        <v>33</v>
      </c>
      <c r="BJ44" s="24">
        <v>122601418</v>
      </c>
      <c r="BK44" s="76">
        <v>1189281</v>
      </c>
      <c r="BL44" s="76">
        <v>121412137</v>
      </c>
      <c r="BM44" s="76">
        <v>338</v>
      </c>
      <c r="BN44" s="14">
        <v>29934</v>
      </c>
      <c r="BO44" s="27">
        <v>34</v>
      </c>
      <c r="BP44" s="37">
        <v>103.9375</v>
      </c>
      <c r="BQ44" s="38">
        <v>98.493024480126351</v>
      </c>
      <c r="BS44" s="24">
        <v>133527539</v>
      </c>
      <c r="BT44" s="76">
        <v>1357529</v>
      </c>
      <c r="BU44" s="76">
        <v>132170010</v>
      </c>
      <c r="BV44" s="76">
        <v>369</v>
      </c>
      <c r="BW44" s="14">
        <v>29849</v>
      </c>
      <c r="BX44" s="27">
        <v>34</v>
      </c>
      <c r="BY44" s="26">
        <v>104.15954217119727</v>
      </c>
      <c r="BZ44" s="24">
        <v>136978956</v>
      </c>
      <c r="CA44" s="76">
        <v>1357529</v>
      </c>
      <c r="CB44" s="76">
        <v>135621427</v>
      </c>
      <c r="CC44" s="76">
        <v>377</v>
      </c>
      <c r="CD44" s="14">
        <v>29978</v>
      </c>
      <c r="CE44" s="77">
        <v>34</v>
      </c>
      <c r="CF44" s="24">
        <v>130967487</v>
      </c>
      <c r="CG44" s="76">
        <v>1173861</v>
      </c>
      <c r="CH44" s="76">
        <v>129793626</v>
      </c>
      <c r="CI44" s="76">
        <v>338</v>
      </c>
      <c r="CJ44" s="14">
        <v>32000</v>
      </c>
      <c r="CK44" s="77">
        <v>33</v>
      </c>
      <c r="CL44" s="37">
        <v>106.7449462939489</v>
      </c>
      <c r="CM44" s="38">
        <v>106.9018507382909</v>
      </c>
      <c r="CO44" s="75">
        <v>145043020</v>
      </c>
      <c r="CP44" s="76">
        <v>1357529</v>
      </c>
      <c r="CQ44" s="76">
        <v>143685491</v>
      </c>
      <c r="CR44" s="76">
        <v>378</v>
      </c>
      <c r="CS44" s="76">
        <v>31677</v>
      </c>
      <c r="CT44" s="45">
        <v>34</v>
      </c>
      <c r="CU44" s="26">
        <v>106.12415826325841</v>
      </c>
      <c r="CV44" s="75">
        <v>147198302</v>
      </c>
      <c r="CW44" s="76">
        <v>1357529</v>
      </c>
      <c r="CX44" s="76">
        <v>145840773</v>
      </c>
      <c r="CY44" s="76">
        <v>378</v>
      </c>
      <c r="CZ44" s="76">
        <v>32152</v>
      </c>
      <c r="DA44" s="77">
        <v>37</v>
      </c>
      <c r="DB44" s="24">
        <v>139457167</v>
      </c>
      <c r="DC44" s="76">
        <v>384819</v>
      </c>
      <c r="DD44" s="76">
        <v>139072348</v>
      </c>
      <c r="DE44" s="76">
        <v>343</v>
      </c>
      <c r="DF44" s="14">
        <v>33788</v>
      </c>
      <c r="DG44" s="77">
        <v>36</v>
      </c>
      <c r="DH44" s="37">
        <v>105.08833043045533</v>
      </c>
      <c r="DI44" s="38">
        <v>105.58749999999999</v>
      </c>
      <c r="DK44" s="24">
        <v>169092289</v>
      </c>
      <c r="DL44" s="76">
        <v>1357529</v>
      </c>
      <c r="DM44" s="76">
        <v>167734760</v>
      </c>
      <c r="DN44" s="76">
        <v>406.71</v>
      </c>
      <c r="DO44" s="14">
        <v>34368</v>
      </c>
      <c r="DP44" s="77">
        <v>37</v>
      </c>
      <c r="DQ44" s="26">
        <v>108.49512264418979</v>
      </c>
      <c r="DR44" s="24">
        <v>169092289</v>
      </c>
      <c r="DS44" s="76">
        <v>1357529</v>
      </c>
      <c r="DT44" s="76">
        <v>167734760</v>
      </c>
      <c r="DU44" s="76">
        <v>406.71000000000004</v>
      </c>
      <c r="DV44" s="14">
        <v>34368</v>
      </c>
      <c r="DW44" s="77">
        <v>39</v>
      </c>
      <c r="DX44" s="24">
        <v>158180177</v>
      </c>
      <c r="DY44" s="76">
        <v>395162</v>
      </c>
      <c r="DZ44" s="76">
        <v>157785015</v>
      </c>
      <c r="EA44" s="76">
        <v>364.23</v>
      </c>
      <c r="EB44" s="14">
        <v>36100</v>
      </c>
      <c r="EC44" s="77">
        <v>39</v>
      </c>
      <c r="ED44" s="37">
        <v>105.03957169459963</v>
      </c>
      <c r="EE44" s="38">
        <v>106.84266603527878</v>
      </c>
      <c r="EG44" s="24">
        <v>179489023</v>
      </c>
      <c r="EH44" s="76">
        <v>1357529</v>
      </c>
      <c r="EI44" s="76">
        <v>178131494</v>
      </c>
      <c r="EJ44" s="76">
        <v>417.00000000000006</v>
      </c>
      <c r="EK44" s="14">
        <v>35598</v>
      </c>
      <c r="EL44" s="77">
        <v>39</v>
      </c>
      <c r="EM44" s="26">
        <v>103.57891061452513</v>
      </c>
      <c r="EN44" s="24">
        <v>179489023</v>
      </c>
      <c r="EO44" s="76">
        <v>1357529</v>
      </c>
      <c r="EP44" s="76">
        <v>178131494</v>
      </c>
      <c r="EQ44" s="76">
        <v>417</v>
      </c>
      <c r="ER44" s="14">
        <v>35598</v>
      </c>
      <c r="ES44" s="77">
        <v>39</v>
      </c>
      <c r="ET44" s="24">
        <v>170558714</v>
      </c>
      <c r="EU44" s="76">
        <v>1370128</v>
      </c>
      <c r="EV44" s="76">
        <v>169188586</v>
      </c>
      <c r="EW44" s="76">
        <v>383.82</v>
      </c>
      <c r="EX44" s="14">
        <v>36733</v>
      </c>
      <c r="EY44" s="27">
        <v>40</v>
      </c>
      <c r="EZ44" s="37">
        <v>103.18838136973987</v>
      </c>
      <c r="FA44" s="38">
        <v>101.75346260387812</v>
      </c>
      <c r="FB44" s="9"/>
      <c r="FC44" s="24">
        <v>188173414</v>
      </c>
      <c r="FD44" s="76">
        <v>1357529</v>
      </c>
      <c r="FE44" s="76">
        <v>186815885</v>
      </c>
      <c r="FF44" s="76">
        <v>406</v>
      </c>
      <c r="FG44" s="14">
        <v>38345</v>
      </c>
      <c r="FH44" s="77">
        <v>39</v>
      </c>
      <c r="FI44" s="26">
        <v>107.71672565874488</v>
      </c>
      <c r="FJ44" s="24">
        <v>188173414</v>
      </c>
      <c r="FK44" s="76">
        <v>1357529</v>
      </c>
      <c r="FL44" s="76">
        <v>186815885</v>
      </c>
      <c r="FM44" s="76">
        <v>406</v>
      </c>
      <c r="FN44" s="14">
        <v>38345</v>
      </c>
      <c r="FO44" s="77">
        <v>39</v>
      </c>
      <c r="FP44" s="24">
        <v>187233487</v>
      </c>
      <c r="FQ44" s="76">
        <v>1815488</v>
      </c>
      <c r="FR44" s="76">
        <v>185417999</v>
      </c>
      <c r="FS44" s="76">
        <v>385.03</v>
      </c>
      <c r="FT44" s="14">
        <v>40131</v>
      </c>
      <c r="FU44" s="77">
        <v>40</v>
      </c>
      <c r="FV44" s="37">
        <v>104.65771286999608</v>
      </c>
      <c r="FW44" s="38">
        <v>109.25053766368116</v>
      </c>
      <c r="FX44" s="9"/>
      <c r="FY44" s="75">
        <v>205656880</v>
      </c>
      <c r="FZ44" s="76">
        <v>1357529</v>
      </c>
      <c r="GA44" s="76">
        <v>204299351</v>
      </c>
      <c r="GB44" s="76">
        <v>416</v>
      </c>
      <c r="GC44" s="76">
        <v>40925</v>
      </c>
      <c r="GD44" s="77">
        <f t="shared" si="0"/>
        <v>41</v>
      </c>
      <c r="GE44" s="26"/>
      <c r="GF44" s="39">
        <v>209421880</v>
      </c>
      <c r="GG44" s="76">
        <v>1357529</v>
      </c>
      <c r="GH44" s="76">
        <v>208064351</v>
      </c>
      <c r="GI44" s="76">
        <v>416</v>
      </c>
      <c r="GJ44" s="14">
        <v>41680</v>
      </c>
      <c r="GK44" s="77">
        <f t="shared" ref="GK44:GK49" si="6">RANK(GJ44,GJ$6:GJ$49,0)</f>
        <v>39</v>
      </c>
      <c r="GL44" s="39">
        <v>205569155</v>
      </c>
      <c r="GM44" s="76">
        <v>1265364</v>
      </c>
      <c r="GN44" s="295">
        <v>204303791</v>
      </c>
      <c r="GO44" s="76">
        <v>373.85</v>
      </c>
      <c r="GP44" s="14">
        <v>45540</v>
      </c>
      <c r="GQ44" s="77">
        <f t="shared" ref="GQ44:GQ49" si="7">RANK(GP44,GP$6:GP$49,0)</f>
        <v>39</v>
      </c>
      <c r="GR44" s="37">
        <v>105.08833043045533</v>
      </c>
      <c r="GS44" s="38">
        <v>105.58749999999999</v>
      </c>
      <c r="GU44" s="75">
        <v>215014318</v>
      </c>
      <c r="GV44" s="76">
        <v>1357529</v>
      </c>
      <c r="GW44" s="76">
        <v>213656789</v>
      </c>
      <c r="GX44" s="76">
        <v>416</v>
      </c>
      <c r="GY44" s="76">
        <v>42800</v>
      </c>
      <c r="GZ44" s="77">
        <f t="shared" ref="GZ44:GZ49" si="8">RANK(GY44,GY$6:GY$49,0)</f>
        <v>40</v>
      </c>
      <c r="HA44" s="26"/>
      <c r="HB44" s="39">
        <v>215014318</v>
      </c>
      <c r="HC44" s="76">
        <v>1357529</v>
      </c>
      <c r="HD44" s="76">
        <v>213656789</v>
      </c>
      <c r="HE44" s="76">
        <v>416</v>
      </c>
      <c r="HF44" s="14">
        <v>42800</v>
      </c>
      <c r="HG44" s="77">
        <f t="shared" ref="HG44:HG49" si="9">RANK(HF44,HF$6:HF$49,0)</f>
        <v>40</v>
      </c>
      <c r="HH44" s="39">
        <v>218663897</v>
      </c>
      <c r="HI44" s="76">
        <v>1847377</v>
      </c>
      <c r="HJ44" s="295">
        <v>216816520</v>
      </c>
      <c r="HK44" s="76">
        <v>376.14</v>
      </c>
      <c r="HL44" s="14">
        <v>48035</v>
      </c>
      <c r="HM44" s="77">
        <f t="shared" ref="HM44:HM49" si="10">RANK(HL44,HL$6:HL$49,0)</f>
        <v>39</v>
      </c>
      <c r="HN44" s="37"/>
      <c r="HO44" s="38"/>
    </row>
    <row r="45" spans="1:223" ht="16.5" customHeight="1">
      <c r="A45" s="65">
        <v>375</v>
      </c>
      <c r="B45" s="68" t="s">
        <v>58</v>
      </c>
      <c r="C45" s="33" t="s">
        <v>59</v>
      </c>
      <c r="D45" s="41"/>
      <c r="E45" s="75">
        <v>99675000</v>
      </c>
      <c r="F45" s="76">
        <v>190000</v>
      </c>
      <c r="G45" s="76">
        <v>99485000</v>
      </c>
      <c r="H45" s="76">
        <v>203</v>
      </c>
      <c r="I45" s="76">
        <v>40839</v>
      </c>
      <c r="J45" s="77">
        <v>1</v>
      </c>
      <c r="K45" s="38">
        <v>99.904594158226928</v>
      </c>
      <c r="L45" s="75">
        <v>100875000</v>
      </c>
      <c r="M45" s="76">
        <v>240000</v>
      </c>
      <c r="N45" s="76">
        <v>100635000</v>
      </c>
      <c r="O45" s="76">
        <v>203</v>
      </c>
      <c r="P45" s="76">
        <v>41312</v>
      </c>
      <c r="Q45" s="77">
        <v>1</v>
      </c>
      <c r="R45" s="75">
        <v>98849277</v>
      </c>
      <c r="S45" s="76">
        <v>1213813</v>
      </c>
      <c r="T45" s="76">
        <v>97635464</v>
      </c>
      <c r="U45" s="76">
        <v>196</v>
      </c>
      <c r="V45" s="76">
        <v>41512</v>
      </c>
      <c r="W45" s="77">
        <v>5</v>
      </c>
      <c r="X45" s="37">
        <v>100.48412083656079</v>
      </c>
      <c r="Y45" s="38">
        <v>112.139077593373</v>
      </c>
      <c r="AA45" s="75">
        <v>104606100</v>
      </c>
      <c r="AB45" s="76">
        <v>193800</v>
      </c>
      <c r="AC45" s="76">
        <v>104412300</v>
      </c>
      <c r="AD45" s="76">
        <v>209</v>
      </c>
      <c r="AE45" s="76">
        <v>41632</v>
      </c>
      <c r="AF45" s="77">
        <v>2</v>
      </c>
      <c r="AG45" s="38">
        <v>101.94177134601729</v>
      </c>
      <c r="AH45" s="75">
        <v>105715172</v>
      </c>
      <c r="AI45" s="76">
        <v>193800</v>
      </c>
      <c r="AJ45" s="76">
        <v>105521372</v>
      </c>
      <c r="AK45" s="76">
        <v>209</v>
      </c>
      <c r="AL45" s="76">
        <v>42074</v>
      </c>
      <c r="AM45" s="77">
        <v>1</v>
      </c>
      <c r="AN45" s="75">
        <v>104740723</v>
      </c>
      <c r="AO45" s="76">
        <v>1274625</v>
      </c>
      <c r="AP45" s="76">
        <v>103466098</v>
      </c>
      <c r="AQ45" s="76">
        <v>200</v>
      </c>
      <c r="AR45" s="76">
        <v>43111</v>
      </c>
      <c r="AS45" s="77">
        <v>4</v>
      </c>
      <c r="AT45" s="37">
        <v>102.46470504349479</v>
      </c>
      <c r="AU45" s="38">
        <v>103.85189824629022</v>
      </c>
      <c r="AW45" s="75">
        <v>109891323</v>
      </c>
      <c r="AX45" s="76">
        <v>203592</v>
      </c>
      <c r="AY45" s="76">
        <v>109687731</v>
      </c>
      <c r="AZ45" s="76">
        <v>209</v>
      </c>
      <c r="BA45" s="76">
        <v>43735</v>
      </c>
      <c r="BB45" s="27">
        <v>2</v>
      </c>
      <c r="BC45" s="38">
        <v>105.05140276710223</v>
      </c>
      <c r="BD45" s="24">
        <v>111339897</v>
      </c>
      <c r="BE45" s="76">
        <v>203592</v>
      </c>
      <c r="BF45" s="76">
        <v>111136305</v>
      </c>
      <c r="BG45" s="76">
        <v>211</v>
      </c>
      <c r="BH45" s="14">
        <v>43893</v>
      </c>
      <c r="BI45" s="27">
        <v>1</v>
      </c>
      <c r="BJ45" s="24">
        <v>115216238</v>
      </c>
      <c r="BK45" s="76">
        <v>1575719</v>
      </c>
      <c r="BL45" s="76">
        <v>113640519</v>
      </c>
      <c r="BM45" s="76">
        <v>207</v>
      </c>
      <c r="BN45" s="14">
        <v>45749</v>
      </c>
      <c r="BO45" s="27">
        <v>2</v>
      </c>
      <c r="BP45" s="37">
        <v>104.22846467546078</v>
      </c>
      <c r="BQ45" s="38">
        <v>106.11908793579366</v>
      </c>
      <c r="BS45" s="24">
        <v>117497329</v>
      </c>
      <c r="BT45" s="76">
        <v>209700</v>
      </c>
      <c r="BU45" s="76">
        <v>117287629</v>
      </c>
      <c r="BV45" s="76">
        <v>214</v>
      </c>
      <c r="BW45" s="14">
        <v>45673</v>
      </c>
      <c r="BX45" s="27">
        <v>1</v>
      </c>
      <c r="BY45" s="26">
        <v>104.43123356579397</v>
      </c>
      <c r="BZ45" s="24">
        <v>118474726</v>
      </c>
      <c r="CA45" s="76">
        <v>209700</v>
      </c>
      <c r="CB45" s="76">
        <v>118265026</v>
      </c>
      <c r="CC45" s="76">
        <v>214</v>
      </c>
      <c r="CD45" s="14">
        <v>46053</v>
      </c>
      <c r="CE45" s="77">
        <v>1</v>
      </c>
      <c r="CF45" s="24">
        <v>116928820</v>
      </c>
      <c r="CG45" s="76">
        <v>2576688</v>
      </c>
      <c r="CH45" s="76">
        <v>114352132</v>
      </c>
      <c r="CI45" s="76">
        <v>199</v>
      </c>
      <c r="CJ45" s="14">
        <v>47886</v>
      </c>
      <c r="CK45" s="77">
        <v>2</v>
      </c>
      <c r="CL45" s="37">
        <v>103.98019672985473</v>
      </c>
      <c r="CM45" s="38">
        <v>104.67114035279459</v>
      </c>
      <c r="CO45" s="75">
        <v>127562619</v>
      </c>
      <c r="CP45" s="76">
        <v>209700</v>
      </c>
      <c r="CQ45" s="76">
        <v>127352919</v>
      </c>
      <c r="CR45" s="76">
        <v>218</v>
      </c>
      <c r="CS45" s="76">
        <v>48682</v>
      </c>
      <c r="CT45" s="45">
        <v>1</v>
      </c>
      <c r="CU45" s="26">
        <v>106.58813741159985</v>
      </c>
      <c r="CV45" s="75">
        <v>129472913</v>
      </c>
      <c r="CW45" s="76">
        <v>209700</v>
      </c>
      <c r="CX45" s="76">
        <v>129263213</v>
      </c>
      <c r="CY45" s="76">
        <v>218</v>
      </c>
      <c r="CZ45" s="76">
        <v>49413</v>
      </c>
      <c r="DA45" s="77">
        <v>3</v>
      </c>
      <c r="DB45" s="24">
        <v>122935557</v>
      </c>
      <c r="DC45" s="76">
        <v>1577600</v>
      </c>
      <c r="DD45" s="76">
        <v>121357957</v>
      </c>
      <c r="DE45" s="76">
        <v>195</v>
      </c>
      <c r="DF45" s="14">
        <v>51862</v>
      </c>
      <c r="DG45" s="77">
        <v>3</v>
      </c>
      <c r="DH45" s="37">
        <v>104.95618561916903</v>
      </c>
      <c r="DI45" s="38">
        <v>108.3030530844088</v>
      </c>
      <c r="DK45" s="24">
        <v>131310405</v>
      </c>
      <c r="DL45" s="76">
        <v>209700</v>
      </c>
      <c r="DM45" s="76">
        <v>131100705</v>
      </c>
      <c r="DN45" s="76">
        <v>218</v>
      </c>
      <c r="DO45" s="14">
        <v>50115</v>
      </c>
      <c r="DP45" s="77">
        <v>3</v>
      </c>
      <c r="DQ45" s="26">
        <v>102.94359311449817</v>
      </c>
      <c r="DR45" s="24">
        <v>131310405</v>
      </c>
      <c r="DS45" s="76">
        <v>209700</v>
      </c>
      <c r="DT45" s="76">
        <v>131100705</v>
      </c>
      <c r="DU45" s="76">
        <v>218</v>
      </c>
      <c r="DV45" s="14">
        <v>50115</v>
      </c>
      <c r="DW45" s="77">
        <v>2</v>
      </c>
      <c r="DX45" s="24">
        <v>134031508</v>
      </c>
      <c r="DY45" s="76">
        <v>2263550</v>
      </c>
      <c r="DZ45" s="76">
        <v>131767958</v>
      </c>
      <c r="EA45" s="76">
        <v>197.19</v>
      </c>
      <c r="EB45" s="14">
        <v>55686</v>
      </c>
      <c r="EC45" s="77">
        <v>3</v>
      </c>
      <c r="ED45" s="37">
        <v>111.11643220592637</v>
      </c>
      <c r="EE45" s="38">
        <v>107.37341406039104</v>
      </c>
      <c r="EG45" s="24">
        <v>136016966</v>
      </c>
      <c r="EH45" s="76">
        <v>209700</v>
      </c>
      <c r="EI45" s="76">
        <v>135807266</v>
      </c>
      <c r="EJ45" s="76">
        <v>210</v>
      </c>
      <c r="EK45" s="14">
        <v>53892</v>
      </c>
      <c r="EL45" s="77">
        <v>2</v>
      </c>
      <c r="EM45" s="26">
        <v>107.53666566896139</v>
      </c>
      <c r="EN45" s="24">
        <v>136016966</v>
      </c>
      <c r="EO45" s="76">
        <v>209700</v>
      </c>
      <c r="EP45" s="76">
        <v>135807266</v>
      </c>
      <c r="EQ45" s="76">
        <v>210</v>
      </c>
      <c r="ER45" s="14">
        <v>53892</v>
      </c>
      <c r="ES45" s="77">
        <v>2</v>
      </c>
      <c r="ET45" s="24">
        <v>139118379</v>
      </c>
      <c r="EU45" s="76">
        <v>1931250</v>
      </c>
      <c r="EV45" s="76">
        <v>137187129</v>
      </c>
      <c r="EW45" s="76">
        <v>198.9</v>
      </c>
      <c r="EX45" s="14">
        <v>57477</v>
      </c>
      <c r="EY45" s="27">
        <v>3</v>
      </c>
      <c r="EZ45" s="37">
        <v>106.65219327543977</v>
      </c>
      <c r="FA45" s="38">
        <v>103.21624824911109</v>
      </c>
      <c r="FB45" s="9"/>
      <c r="FC45" s="24">
        <v>142849186</v>
      </c>
      <c r="FD45" s="76">
        <v>209700</v>
      </c>
      <c r="FE45" s="76">
        <v>142639486</v>
      </c>
      <c r="FF45" s="76">
        <v>215</v>
      </c>
      <c r="FG45" s="14">
        <v>55287</v>
      </c>
      <c r="FH45" s="77">
        <v>3</v>
      </c>
      <c r="FI45" s="26">
        <v>102.58851035404142</v>
      </c>
      <c r="FJ45" s="24">
        <v>142849186</v>
      </c>
      <c r="FK45" s="76">
        <v>209700</v>
      </c>
      <c r="FL45" s="76">
        <v>142639486</v>
      </c>
      <c r="FM45" s="76">
        <v>215</v>
      </c>
      <c r="FN45" s="14">
        <v>55287</v>
      </c>
      <c r="FO45" s="77">
        <v>3</v>
      </c>
      <c r="FP45" s="24">
        <v>136363596</v>
      </c>
      <c r="FQ45" s="76">
        <v>1023200</v>
      </c>
      <c r="FR45" s="76">
        <v>135340396</v>
      </c>
      <c r="FS45" s="76">
        <v>192.29</v>
      </c>
      <c r="FT45" s="14">
        <v>58653</v>
      </c>
      <c r="FU45" s="77">
        <v>3</v>
      </c>
      <c r="FV45" s="37">
        <v>106.08823050626729</v>
      </c>
      <c r="FW45" s="38">
        <v>102.04603580562659</v>
      </c>
      <c r="FX45" s="9"/>
      <c r="FY45" s="75">
        <v>152152559</v>
      </c>
      <c r="FZ45" s="76">
        <v>2000700</v>
      </c>
      <c r="GA45" s="76">
        <v>150151859</v>
      </c>
      <c r="GB45" s="76">
        <v>218</v>
      </c>
      <c r="GC45" s="76">
        <v>57397</v>
      </c>
      <c r="GD45" s="77">
        <f t="shared" si="0"/>
        <v>5</v>
      </c>
      <c r="GE45" s="26"/>
      <c r="GF45" s="39">
        <v>152152559</v>
      </c>
      <c r="GG45" s="76">
        <v>2000700</v>
      </c>
      <c r="GH45" s="76">
        <v>150151859</v>
      </c>
      <c r="GI45" s="76">
        <v>218</v>
      </c>
      <c r="GJ45" s="14">
        <v>57397</v>
      </c>
      <c r="GK45" s="77">
        <f t="shared" si="6"/>
        <v>6</v>
      </c>
      <c r="GL45" s="39">
        <v>150907206</v>
      </c>
      <c r="GM45" s="76">
        <v>2792212</v>
      </c>
      <c r="GN45" s="295">
        <v>148114994</v>
      </c>
      <c r="GO45" s="76">
        <v>196.82</v>
      </c>
      <c r="GP45" s="14">
        <v>62712</v>
      </c>
      <c r="GQ45" s="77">
        <f t="shared" si="7"/>
        <v>6</v>
      </c>
      <c r="GR45" s="37">
        <v>104.95618561916903</v>
      </c>
      <c r="GS45" s="38">
        <v>108.3030530844088</v>
      </c>
      <c r="GU45" s="75">
        <v>170611915</v>
      </c>
      <c r="GV45" s="76">
        <v>2000700</v>
      </c>
      <c r="GW45" s="76">
        <v>168611215</v>
      </c>
      <c r="GX45" s="76">
        <v>237</v>
      </c>
      <c r="GY45" s="76">
        <v>59287</v>
      </c>
      <c r="GZ45" s="77">
        <f t="shared" si="8"/>
        <v>6</v>
      </c>
      <c r="HA45" s="26"/>
      <c r="HB45" s="39">
        <v>170611915</v>
      </c>
      <c r="HC45" s="76">
        <v>2000700</v>
      </c>
      <c r="HD45" s="76">
        <v>168611215</v>
      </c>
      <c r="HE45" s="76">
        <v>237</v>
      </c>
      <c r="HF45" s="14">
        <v>59287</v>
      </c>
      <c r="HG45" s="77">
        <f t="shared" si="9"/>
        <v>8</v>
      </c>
      <c r="HH45" s="39">
        <v>165650329</v>
      </c>
      <c r="HI45" s="76">
        <v>3194379</v>
      </c>
      <c r="HJ45" s="295">
        <v>162455950</v>
      </c>
      <c r="HK45" s="76">
        <v>204.75</v>
      </c>
      <c r="HL45" s="14">
        <v>66120</v>
      </c>
      <c r="HM45" s="77">
        <f t="shared" si="10"/>
        <v>7</v>
      </c>
      <c r="HN45" s="37"/>
      <c r="HO45" s="38"/>
    </row>
    <row r="46" spans="1:223" ht="16.5" customHeight="1">
      <c r="A46" s="65">
        <v>376</v>
      </c>
      <c r="B46" s="68" t="s">
        <v>105</v>
      </c>
      <c r="C46" s="33" t="s">
        <v>207</v>
      </c>
      <c r="D46" s="42"/>
      <c r="E46" s="119">
        <v>140716000</v>
      </c>
      <c r="F46" s="76">
        <v>1734000</v>
      </c>
      <c r="G46" s="76">
        <v>138982000</v>
      </c>
      <c r="H46" s="76">
        <v>335</v>
      </c>
      <c r="I46" s="121">
        <v>34573</v>
      </c>
      <c r="J46" s="122">
        <v>12</v>
      </c>
      <c r="K46" s="123">
        <v>0</v>
      </c>
      <c r="L46" s="75">
        <v>145212000</v>
      </c>
      <c r="M46" s="76">
        <v>1639000</v>
      </c>
      <c r="N46" s="76">
        <v>143573000</v>
      </c>
      <c r="O46" s="76">
        <v>335</v>
      </c>
      <c r="P46" s="76">
        <v>35715</v>
      </c>
      <c r="Q46" s="77">
        <v>10</v>
      </c>
      <c r="R46" s="75">
        <v>145212000</v>
      </c>
      <c r="S46" s="76">
        <v>1639000</v>
      </c>
      <c r="T46" s="76">
        <v>143573000</v>
      </c>
      <c r="U46" s="76">
        <v>272</v>
      </c>
      <c r="V46" s="76">
        <v>43987</v>
      </c>
      <c r="W46" s="77">
        <v>2</v>
      </c>
      <c r="X46" s="37">
        <v>123.16113677726446</v>
      </c>
      <c r="Y46" s="38">
        <v>113.139077593373</v>
      </c>
      <c r="AA46" s="75">
        <v>154782960</v>
      </c>
      <c r="AB46" s="76">
        <v>1768680</v>
      </c>
      <c r="AC46" s="76">
        <v>153014280</v>
      </c>
      <c r="AD46" s="76">
        <v>335</v>
      </c>
      <c r="AE46" s="76">
        <v>38063</v>
      </c>
      <c r="AF46" s="77">
        <v>6</v>
      </c>
      <c r="AG46" s="38">
        <v>110.09458247765598</v>
      </c>
      <c r="AH46" s="75">
        <v>155675543</v>
      </c>
      <c r="AI46" s="76">
        <v>1787350</v>
      </c>
      <c r="AJ46" s="76">
        <v>153888193</v>
      </c>
      <c r="AK46" s="76">
        <v>335</v>
      </c>
      <c r="AL46" s="76">
        <v>38281</v>
      </c>
      <c r="AM46" s="77">
        <v>6</v>
      </c>
      <c r="AN46" s="75">
        <v>155675543</v>
      </c>
      <c r="AO46" s="76">
        <v>1787350</v>
      </c>
      <c r="AP46" s="76">
        <v>153888193</v>
      </c>
      <c r="AQ46" s="76">
        <v>280</v>
      </c>
      <c r="AR46" s="76">
        <v>45800</v>
      </c>
      <c r="AS46" s="77">
        <v>2</v>
      </c>
      <c r="AT46" s="37">
        <v>119.64159765941329</v>
      </c>
      <c r="AU46" s="38">
        <v>104.12167231227407</v>
      </c>
      <c r="AW46" s="75">
        <v>156083695</v>
      </c>
      <c r="AX46" s="76">
        <v>1858043</v>
      </c>
      <c r="AY46" s="76">
        <v>154225652</v>
      </c>
      <c r="AZ46" s="76">
        <v>295</v>
      </c>
      <c r="BA46" s="76">
        <v>43567</v>
      </c>
      <c r="BB46" s="27">
        <v>3</v>
      </c>
      <c r="BC46" s="38">
        <v>114.46023697554055</v>
      </c>
      <c r="BD46" s="24">
        <v>156854823</v>
      </c>
      <c r="BE46" s="76">
        <v>1858043</v>
      </c>
      <c r="BF46" s="76">
        <v>154996780</v>
      </c>
      <c r="BG46" s="76">
        <v>295</v>
      </c>
      <c r="BH46" s="14">
        <v>43784</v>
      </c>
      <c r="BI46" s="27">
        <v>2</v>
      </c>
      <c r="BJ46" s="24">
        <v>156854823</v>
      </c>
      <c r="BK46" s="76">
        <v>1858043</v>
      </c>
      <c r="BL46" s="76">
        <v>154996780</v>
      </c>
      <c r="BM46" s="76">
        <v>284</v>
      </c>
      <c r="BN46" s="14">
        <v>45480</v>
      </c>
      <c r="BO46" s="27">
        <v>3</v>
      </c>
      <c r="BP46" s="37">
        <v>103.87356111821671</v>
      </c>
      <c r="BQ46" s="38">
        <v>99.301310043668124</v>
      </c>
      <c r="BS46" s="24">
        <v>160766206</v>
      </c>
      <c r="BT46" s="76">
        <v>1913784</v>
      </c>
      <c r="BU46" s="76">
        <v>158852422</v>
      </c>
      <c r="BV46" s="76">
        <v>300</v>
      </c>
      <c r="BW46" s="14">
        <v>44126</v>
      </c>
      <c r="BX46" s="27">
        <v>3</v>
      </c>
      <c r="BY46" s="26">
        <v>101.28308123120711</v>
      </c>
      <c r="BZ46" s="24">
        <v>162329976</v>
      </c>
      <c r="CA46" s="76">
        <v>2153784</v>
      </c>
      <c r="CB46" s="76">
        <v>160176192</v>
      </c>
      <c r="CC46" s="76">
        <v>300</v>
      </c>
      <c r="CD46" s="14">
        <v>44493</v>
      </c>
      <c r="CE46" s="77">
        <v>3</v>
      </c>
      <c r="CF46" s="24">
        <v>162298212</v>
      </c>
      <c r="CG46" s="76">
        <v>2122020</v>
      </c>
      <c r="CH46" s="76">
        <v>160176192</v>
      </c>
      <c r="CI46" s="76">
        <v>285</v>
      </c>
      <c r="CJ46" s="14">
        <v>46835</v>
      </c>
      <c r="CK46" s="77">
        <v>3</v>
      </c>
      <c r="CL46" s="37">
        <v>105.26374935383093</v>
      </c>
      <c r="CM46" s="38">
        <v>102.97933157431838</v>
      </c>
      <c r="CO46" s="75">
        <v>172865298</v>
      </c>
      <c r="CP46" s="76">
        <v>2393784</v>
      </c>
      <c r="CQ46" s="76">
        <v>170471514</v>
      </c>
      <c r="CR46" s="76">
        <v>300</v>
      </c>
      <c r="CS46" s="76">
        <v>47353</v>
      </c>
      <c r="CT46" s="45">
        <v>2</v>
      </c>
      <c r="CU46" s="26">
        <v>107.3131487105108</v>
      </c>
      <c r="CV46" s="75">
        <v>214950470</v>
      </c>
      <c r="CW46" s="76">
        <v>2477229</v>
      </c>
      <c r="CX46" s="76">
        <v>212473241</v>
      </c>
      <c r="CY46" s="76">
        <v>335</v>
      </c>
      <c r="CZ46" s="76">
        <v>52854</v>
      </c>
      <c r="DA46" s="77">
        <v>1</v>
      </c>
      <c r="DB46" s="24">
        <v>214823186</v>
      </c>
      <c r="DC46" s="76">
        <v>2349945</v>
      </c>
      <c r="DD46" s="76">
        <v>212473241</v>
      </c>
      <c r="DE46" s="76">
        <v>301</v>
      </c>
      <c r="DF46" s="14">
        <v>58824</v>
      </c>
      <c r="DG46" s="77">
        <v>2</v>
      </c>
      <c r="DH46" s="37">
        <v>111.2952662050176</v>
      </c>
      <c r="DI46" s="38">
        <v>125.59837728194726</v>
      </c>
      <c r="DK46" s="24">
        <v>236743362</v>
      </c>
      <c r="DL46" s="76">
        <v>2393784</v>
      </c>
      <c r="DM46" s="76">
        <v>234349578</v>
      </c>
      <c r="DN46" s="76">
        <v>335</v>
      </c>
      <c r="DO46" s="14">
        <v>58296</v>
      </c>
      <c r="DP46" s="77">
        <v>1</v>
      </c>
      <c r="DQ46" s="26">
        <v>123.10941228644437</v>
      </c>
      <c r="DR46" s="24">
        <v>235273362</v>
      </c>
      <c r="DS46" s="76">
        <v>2393784</v>
      </c>
      <c r="DT46" s="76">
        <v>232879578</v>
      </c>
      <c r="DU46" s="76">
        <v>335</v>
      </c>
      <c r="DV46" s="14">
        <v>57930</v>
      </c>
      <c r="DW46" s="77">
        <v>1</v>
      </c>
      <c r="DX46" s="24">
        <v>234675435</v>
      </c>
      <c r="DY46" s="76">
        <v>1795857</v>
      </c>
      <c r="DZ46" s="76">
        <v>232879578</v>
      </c>
      <c r="EA46" s="76">
        <v>318.83000000000004</v>
      </c>
      <c r="EB46" s="14">
        <v>60868</v>
      </c>
      <c r="EC46" s="77">
        <v>2</v>
      </c>
      <c r="ED46" s="37">
        <v>105.0716381840152</v>
      </c>
      <c r="EE46" s="38">
        <v>103.47477220182239</v>
      </c>
      <c r="EG46" s="24">
        <v>240606863</v>
      </c>
      <c r="EH46" s="76">
        <v>2393784</v>
      </c>
      <c r="EI46" s="76">
        <v>238213079</v>
      </c>
      <c r="EJ46" s="76">
        <v>335</v>
      </c>
      <c r="EK46" s="14">
        <v>59257</v>
      </c>
      <c r="EL46" s="77">
        <v>1</v>
      </c>
      <c r="EM46" s="26">
        <v>101.64848360093318</v>
      </c>
      <c r="EN46" s="24">
        <v>245230175</v>
      </c>
      <c r="EO46" s="76">
        <v>2393784</v>
      </c>
      <c r="EP46" s="76">
        <v>242836391</v>
      </c>
      <c r="EQ46" s="76">
        <v>335</v>
      </c>
      <c r="ER46" s="14">
        <v>60407</v>
      </c>
      <c r="ES46" s="77">
        <v>1</v>
      </c>
      <c r="ET46" s="24">
        <v>244733391</v>
      </c>
      <c r="EU46" s="76">
        <v>1897000</v>
      </c>
      <c r="EV46" s="76">
        <v>242836391</v>
      </c>
      <c r="EW46" s="76">
        <v>310.44</v>
      </c>
      <c r="EX46" s="14">
        <v>65186</v>
      </c>
      <c r="EY46" s="27">
        <v>1</v>
      </c>
      <c r="EZ46" s="37">
        <v>107.9113347790819</v>
      </c>
      <c r="FA46" s="38">
        <v>107.09403956101728</v>
      </c>
      <c r="FB46" s="9"/>
      <c r="FC46" s="24">
        <v>260649779</v>
      </c>
      <c r="FD46" s="76">
        <v>2393784</v>
      </c>
      <c r="FE46" s="76">
        <v>258255995</v>
      </c>
      <c r="FF46" s="76">
        <v>333</v>
      </c>
      <c r="FG46" s="14">
        <v>64629</v>
      </c>
      <c r="FH46" s="77">
        <v>1</v>
      </c>
      <c r="FI46" s="26">
        <v>109.06559562583324</v>
      </c>
      <c r="FJ46" s="24">
        <v>260649779</v>
      </c>
      <c r="FK46" s="76">
        <v>2393784</v>
      </c>
      <c r="FL46" s="76">
        <v>258255995</v>
      </c>
      <c r="FM46" s="76">
        <v>333</v>
      </c>
      <c r="FN46" s="14">
        <v>64629</v>
      </c>
      <c r="FO46" s="77">
        <v>1</v>
      </c>
      <c r="FP46" s="24">
        <v>252677241</v>
      </c>
      <c r="FQ46" s="76">
        <v>1899600</v>
      </c>
      <c r="FR46" s="76">
        <v>250777641</v>
      </c>
      <c r="FS46" s="76">
        <v>308.86</v>
      </c>
      <c r="FT46" s="14">
        <v>67662</v>
      </c>
      <c r="FU46" s="77">
        <v>1</v>
      </c>
      <c r="FV46" s="37">
        <v>104.69293970199136</v>
      </c>
      <c r="FW46" s="38">
        <v>103.79836161138896</v>
      </c>
      <c r="FX46" s="9"/>
      <c r="FY46" s="75">
        <v>269397297</v>
      </c>
      <c r="FZ46" s="76">
        <v>2079040</v>
      </c>
      <c r="GA46" s="76">
        <v>267318257</v>
      </c>
      <c r="GB46" s="76">
        <v>333</v>
      </c>
      <c r="GC46" s="76">
        <v>66896</v>
      </c>
      <c r="GD46" s="77">
        <f t="shared" si="0"/>
        <v>3</v>
      </c>
      <c r="GE46" s="26"/>
      <c r="GF46" s="39">
        <v>269397297</v>
      </c>
      <c r="GG46" s="76">
        <v>2079040</v>
      </c>
      <c r="GH46" s="76">
        <v>267318257</v>
      </c>
      <c r="GI46" s="76">
        <v>333</v>
      </c>
      <c r="GJ46" s="14">
        <v>66896</v>
      </c>
      <c r="GK46" s="77">
        <f t="shared" si="6"/>
        <v>3</v>
      </c>
      <c r="GL46" s="39">
        <v>261921741.5</v>
      </c>
      <c r="GM46" s="76">
        <v>2188741</v>
      </c>
      <c r="GN46" s="295">
        <v>259733000.5</v>
      </c>
      <c r="GO46" s="76">
        <v>297.67</v>
      </c>
      <c r="GP46" s="14">
        <v>72713</v>
      </c>
      <c r="GQ46" s="77">
        <f t="shared" si="7"/>
        <v>1</v>
      </c>
      <c r="GR46" s="37">
        <v>111.2952662050176</v>
      </c>
      <c r="GS46" s="38">
        <v>125.59837728194726</v>
      </c>
      <c r="GU46" s="75">
        <v>282763210</v>
      </c>
      <c r="GV46" s="76">
        <v>2079040</v>
      </c>
      <c r="GW46" s="76">
        <v>280684170</v>
      </c>
      <c r="GX46" s="76">
        <v>333</v>
      </c>
      <c r="GY46" s="76">
        <v>70241</v>
      </c>
      <c r="GZ46" s="77">
        <f t="shared" si="8"/>
        <v>3</v>
      </c>
      <c r="HA46" s="26"/>
      <c r="HB46" s="39">
        <v>287155210</v>
      </c>
      <c r="HC46" s="76">
        <v>2079040</v>
      </c>
      <c r="HD46" s="76">
        <v>285076170</v>
      </c>
      <c r="HE46" s="76">
        <v>333</v>
      </c>
      <c r="HF46" s="14">
        <v>71340</v>
      </c>
      <c r="HG46" s="77">
        <f t="shared" si="9"/>
        <v>3</v>
      </c>
      <c r="HH46" s="39">
        <v>277436787</v>
      </c>
      <c r="HI46" s="76">
        <v>1882911</v>
      </c>
      <c r="HJ46" s="295">
        <v>275553876</v>
      </c>
      <c r="HK46" s="76">
        <v>296.26</v>
      </c>
      <c r="HL46" s="14">
        <v>77509</v>
      </c>
      <c r="HM46" s="77">
        <f t="shared" si="10"/>
        <v>2</v>
      </c>
      <c r="HN46" s="37"/>
      <c r="HO46" s="38"/>
    </row>
    <row r="47" spans="1:223" ht="16.5" customHeight="1">
      <c r="A47" s="66">
        <v>377</v>
      </c>
      <c r="B47" s="69" t="s">
        <v>163</v>
      </c>
      <c r="C47" s="33" t="s">
        <v>104</v>
      </c>
      <c r="D47" s="42"/>
      <c r="E47" s="75">
        <v>29184000</v>
      </c>
      <c r="F47" s="76">
        <v>11424000</v>
      </c>
      <c r="G47" s="76">
        <v>17760000</v>
      </c>
      <c r="H47" s="76">
        <v>40</v>
      </c>
      <c r="I47" s="76">
        <v>37000</v>
      </c>
      <c r="J47" s="77">
        <v>4</v>
      </c>
      <c r="K47" s="38">
        <v>105.71428571428572</v>
      </c>
      <c r="L47" s="75">
        <v>29184000</v>
      </c>
      <c r="M47" s="76">
        <v>9649000</v>
      </c>
      <c r="N47" s="76">
        <v>19535000</v>
      </c>
      <c r="O47" s="76">
        <v>42</v>
      </c>
      <c r="P47" s="76">
        <v>38760</v>
      </c>
      <c r="Q47" s="77">
        <v>2</v>
      </c>
      <c r="R47" s="75">
        <v>39167224</v>
      </c>
      <c r="S47" s="76">
        <v>16731427</v>
      </c>
      <c r="T47" s="76">
        <v>22435797</v>
      </c>
      <c r="U47" s="76">
        <v>43</v>
      </c>
      <c r="V47" s="76">
        <v>43480</v>
      </c>
      <c r="W47" s="77">
        <v>3</v>
      </c>
      <c r="X47" s="37">
        <v>112.17750257997936</v>
      </c>
      <c r="Y47" s="38">
        <v>114.139077593373</v>
      </c>
      <c r="AA47" s="75">
        <v>29767680</v>
      </c>
      <c r="AB47" s="76">
        <v>4918926</v>
      </c>
      <c r="AC47" s="76">
        <v>24848754</v>
      </c>
      <c r="AD47" s="76">
        <v>49</v>
      </c>
      <c r="AE47" s="76">
        <v>42260</v>
      </c>
      <c r="AF47" s="77">
        <v>1</v>
      </c>
      <c r="AG47" s="38">
        <v>114.21621621621622</v>
      </c>
      <c r="AH47" s="75">
        <v>42859304</v>
      </c>
      <c r="AI47" s="76">
        <v>7273180</v>
      </c>
      <c r="AJ47" s="76">
        <v>35586124</v>
      </c>
      <c r="AK47" s="76">
        <v>76</v>
      </c>
      <c r="AL47" s="76">
        <v>39020</v>
      </c>
      <c r="AM47" s="77">
        <v>4</v>
      </c>
      <c r="AN47" s="75">
        <v>52934337</v>
      </c>
      <c r="AO47" s="76">
        <v>21944453</v>
      </c>
      <c r="AP47" s="76">
        <v>30989884</v>
      </c>
      <c r="AQ47" s="76">
        <v>58</v>
      </c>
      <c r="AR47" s="76">
        <v>44526</v>
      </c>
      <c r="AS47" s="77">
        <v>3</v>
      </c>
      <c r="AT47" s="37">
        <v>114.1107124551512</v>
      </c>
      <c r="AU47" s="38">
        <v>102.40570377184912</v>
      </c>
      <c r="AW47" s="75">
        <v>35532288</v>
      </c>
      <c r="AX47" s="76">
        <v>5754510</v>
      </c>
      <c r="AY47" s="76">
        <v>29777778</v>
      </c>
      <c r="AZ47" s="76">
        <v>56</v>
      </c>
      <c r="BA47" s="76">
        <v>44312</v>
      </c>
      <c r="BB47" s="27">
        <v>1</v>
      </c>
      <c r="BC47" s="38">
        <v>104.85565546616185</v>
      </c>
      <c r="BD47" s="24">
        <v>56464852</v>
      </c>
      <c r="BE47" s="76">
        <v>9421274</v>
      </c>
      <c r="BF47" s="76">
        <v>47043578</v>
      </c>
      <c r="BG47" s="76">
        <v>96</v>
      </c>
      <c r="BH47" s="14">
        <v>40836</v>
      </c>
      <c r="BI47" s="27">
        <v>6</v>
      </c>
      <c r="BJ47" s="24">
        <v>69662061</v>
      </c>
      <c r="BK47" s="76">
        <v>25296705</v>
      </c>
      <c r="BL47" s="76">
        <v>44365356</v>
      </c>
      <c r="BM47" s="76">
        <v>84</v>
      </c>
      <c r="BN47" s="14">
        <v>44013</v>
      </c>
      <c r="BO47" s="27">
        <v>6</v>
      </c>
      <c r="BP47" s="37">
        <v>107.7799000881575</v>
      </c>
      <c r="BQ47" s="38">
        <v>98.847864169249419</v>
      </c>
      <c r="BS47" s="24">
        <v>32189991</v>
      </c>
      <c r="BT47" s="76">
        <v>2323835</v>
      </c>
      <c r="BU47" s="76">
        <v>29866156</v>
      </c>
      <c r="BV47" s="76">
        <v>59</v>
      </c>
      <c r="BW47" s="14">
        <v>42184</v>
      </c>
      <c r="BX47" s="27">
        <v>5</v>
      </c>
      <c r="BY47" s="26">
        <v>95.197689113558397</v>
      </c>
      <c r="BZ47" s="24">
        <v>36586723</v>
      </c>
      <c r="CA47" s="76">
        <v>5692192</v>
      </c>
      <c r="CB47" s="76">
        <v>30894531</v>
      </c>
      <c r="CC47" s="76">
        <v>61</v>
      </c>
      <c r="CD47" s="14">
        <v>42206</v>
      </c>
      <c r="CE47" s="77">
        <v>6</v>
      </c>
      <c r="CF47" s="24">
        <v>39069816</v>
      </c>
      <c r="CG47" s="76">
        <v>8197665</v>
      </c>
      <c r="CH47" s="76">
        <v>30872151</v>
      </c>
      <c r="CI47" s="76">
        <v>59</v>
      </c>
      <c r="CJ47" s="14">
        <v>43605</v>
      </c>
      <c r="CK47" s="77">
        <v>8</v>
      </c>
      <c r="CL47" s="37">
        <v>103.31469459318581</v>
      </c>
      <c r="CM47" s="38">
        <v>99.073001158748554</v>
      </c>
      <c r="CO47" s="75">
        <v>41836779</v>
      </c>
      <c r="CP47" s="76">
        <v>2734987</v>
      </c>
      <c r="CQ47" s="76">
        <v>39101792</v>
      </c>
      <c r="CR47" s="76">
        <v>76.599999999999994</v>
      </c>
      <c r="CS47" s="76">
        <v>42539</v>
      </c>
      <c r="CT47" s="45">
        <v>10</v>
      </c>
      <c r="CU47" s="26">
        <v>100.84155129907073</v>
      </c>
      <c r="CV47" s="75">
        <v>48694013</v>
      </c>
      <c r="CW47" s="76">
        <v>4434987</v>
      </c>
      <c r="CX47" s="76">
        <v>44259026</v>
      </c>
      <c r="CY47" s="76">
        <v>86.6</v>
      </c>
      <c r="CZ47" s="76">
        <v>42590</v>
      </c>
      <c r="DA47" s="77">
        <v>11</v>
      </c>
      <c r="DB47" s="24">
        <v>47036713.009999998</v>
      </c>
      <c r="DC47" s="76">
        <v>5931597</v>
      </c>
      <c r="DD47" s="76">
        <v>41105116.009999998</v>
      </c>
      <c r="DE47" s="76">
        <v>74.86</v>
      </c>
      <c r="DF47" s="14">
        <v>45758</v>
      </c>
      <c r="DG47" s="77">
        <v>16</v>
      </c>
      <c r="DH47" s="37">
        <v>107.43836581357127</v>
      </c>
      <c r="DI47" s="38">
        <v>104.93750716660932</v>
      </c>
      <c r="DK47" s="24">
        <v>66572118</v>
      </c>
      <c r="DL47" s="76">
        <v>6067665</v>
      </c>
      <c r="DM47" s="76">
        <v>60504453</v>
      </c>
      <c r="DN47" s="76">
        <v>120.1</v>
      </c>
      <c r="DO47" s="14">
        <v>41982</v>
      </c>
      <c r="DP47" s="77">
        <v>21</v>
      </c>
      <c r="DQ47" s="26">
        <v>98.690613319542067</v>
      </c>
      <c r="DR47" s="24">
        <v>66572118</v>
      </c>
      <c r="DS47" s="76">
        <v>6067665</v>
      </c>
      <c r="DT47" s="76">
        <v>60504453</v>
      </c>
      <c r="DU47" s="76">
        <v>120.1</v>
      </c>
      <c r="DV47" s="14">
        <v>41982</v>
      </c>
      <c r="DW47" s="77">
        <v>23</v>
      </c>
      <c r="DX47" s="24">
        <v>59125885</v>
      </c>
      <c r="DY47" s="76">
        <v>5538765</v>
      </c>
      <c r="DZ47" s="76">
        <v>53587120</v>
      </c>
      <c r="EA47" s="76">
        <v>95.44</v>
      </c>
      <c r="EB47" s="14">
        <v>46790</v>
      </c>
      <c r="EC47" s="77">
        <v>20</v>
      </c>
      <c r="ED47" s="37">
        <v>111.45252727359345</v>
      </c>
      <c r="EE47" s="38">
        <v>102.25534332794265</v>
      </c>
      <c r="EG47" s="24">
        <v>73754267</v>
      </c>
      <c r="EH47" s="76">
        <v>5400510</v>
      </c>
      <c r="EI47" s="76">
        <v>68353757</v>
      </c>
      <c r="EJ47" s="76">
        <v>133.1</v>
      </c>
      <c r="EK47" s="14">
        <v>42796</v>
      </c>
      <c r="EL47" s="77">
        <v>22</v>
      </c>
      <c r="EM47" s="26">
        <v>101.93892620646945</v>
      </c>
      <c r="EN47" s="24">
        <v>75547867</v>
      </c>
      <c r="EO47" s="76">
        <v>7194110</v>
      </c>
      <c r="EP47" s="76">
        <v>68353757</v>
      </c>
      <c r="EQ47" s="76">
        <v>133.1</v>
      </c>
      <c r="ER47" s="14">
        <v>42796</v>
      </c>
      <c r="ES47" s="77">
        <v>24</v>
      </c>
      <c r="ET47" s="24">
        <v>76716643.519999996</v>
      </c>
      <c r="EU47" s="76">
        <v>6933623</v>
      </c>
      <c r="EV47" s="76">
        <v>69783020.519999996</v>
      </c>
      <c r="EW47" s="76">
        <v>131.72</v>
      </c>
      <c r="EX47" s="14">
        <v>44149</v>
      </c>
      <c r="EY47" s="27">
        <v>25</v>
      </c>
      <c r="EZ47" s="37">
        <v>103.16151042153471</v>
      </c>
      <c r="FA47" s="38">
        <v>94.355631545201973</v>
      </c>
      <c r="FB47" s="9"/>
      <c r="FC47" s="24">
        <v>84549112</v>
      </c>
      <c r="FD47" s="76">
        <v>6256557</v>
      </c>
      <c r="FE47" s="76">
        <v>78292555</v>
      </c>
      <c r="FF47" s="76">
        <v>147.19999999999999</v>
      </c>
      <c r="FG47" s="14">
        <v>44323</v>
      </c>
      <c r="FH47" s="77">
        <v>25</v>
      </c>
      <c r="FI47" s="26">
        <v>103.56809047574541</v>
      </c>
      <c r="FJ47" s="24">
        <v>86762199</v>
      </c>
      <c r="FK47" s="76">
        <v>8469644</v>
      </c>
      <c r="FL47" s="76">
        <v>78292555</v>
      </c>
      <c r="FM47" s="76">
        <v>147.19999999999999</v>
      </c>
      <c r="FN47" s="14">
        <v>44323</v>
      </c>
      <c r="FO47" s="77">
        <v>24</v>
      </c>
      <c r="FP47" s="24">
        <v>81846700.480000004</v>
      </c>
      <c r="FQ47" s="76">
        <v>7091064</v>
      </c>
      <c r="FR47" s="76">
        <v>74755636.480000004</v>
      </c>
      <c r="FS47" s="76">
        <v>131.86000000000001</v>
      </c>
      <c r="FT47" s="14">
        <v>47244</v>
      </c>
      <c r="FU47" s="77">
        <v>27</v>
      </c>
      <c r="FV47" s="37">
        <v>106.59025787965616</v>
      </c>
      <c r="FW47" s="38">
        <v>107.01035131033545</v>
      </c>
      <c r="FX47" s="9"/>
      <c r="FY47" s="75">
        <v>94505349</v>
      </c>
      <c r="FZ47" s="76">
        <v>6573835</v>
      </c>
      <c r="GA47" s="76">
        <v>87931514</v>
      </c>
      <c r="GB47" s="76">
        <v>147.80000000000001</v>
      </c>
      <c r="GC47" s="76">
        <v>49578</v>
      </c>
      <c r="GD47" s="77">
        <f t="shared" si="0"/>
        <v>25</v>
      </c>
      <c r="GE47" s="26"/>
      <c r="GF47" s="39">
        <v>95770494</v>
      </c>
      <c r="GG47" s="76">
        <v>7608980</v>
      </c>
      <c r="GH47" s="76">
        <v>88161514</v>
      </c>
      <c r="GI47" s="76">
        <v>148.18</v>
      </c>
      <c r="GJ47" s="14">
        <v>49580</v>
      </c>
      <c r="GK47" s="77">
        <f t="shared" si="6"/>
        <v>25</v>
      </c>
      <c r="GL47" s="39">
        <v>97273820.010000005</v>
      </c>
      <c r="GM47" s="76">
        <v>6438206</v>
      </c>
      <c r="GN47" s="295">
        <v>90835614.010000005</v>
      </c>
      <c r="GO47" s="76">
        <v>146.13</v>
      </c>
      <c r="GP47" s="14">
        <v>51801</v>
      </c>
      <c r="GQ47" s="77">
        <f t="shared" si="7"/>
        <v>27</v>
      </c>
      <c r="GR47" s="37">
        <v>107.43836581357127</v>
      </c>
      <c r="GS47" s="38">
        <v>104.93750716660932</v>
      </c>
      <c r="GU47" s="75">
        <v>98095468</v>
      </c>
      <c r="GV47" s="76">
        <v>9523835</v>
      </c>
      <c r="GW47" s="76">
        <v>88571633</v>
      </c>
      <c r="GX47" s="76">
        <v>142.27000000000001</v>
      </c>
      <c r="GY47" s="76">
        <v>51880</v>
      </c>
      <c r="GZ47" s="77">
        <f t="shared" si="8"/>
        <v>26</v>
      </c>
      <c r="HA47" s="26"/>
      <c r="HB47" s="39">
        <v>102280425</v>
      </c>
      <c r="HC47" s="76">
        <v>9803835</v>
      </c>
      <c r="HD47" s="76">
        <v>92476590</v>
      </c>
      <c r="HE47" s="76">
        <v>149.1</v>
      </c>
      <c r="HF47" s="14">
        <v>51686</v>
      </c>
      <c r="HG47" s="77">
        <f t="shared" si="9"/>
        <v>25</v>
      </c>
      <c r="HH47" s="39">
        <v>103230528</v>
      </c>
      <c r="HI47" s="76">
        <v>8010310</v>
      </c>
      <c r="HJ47" s="295">
        <v>95220218</v>
      </c>
      <c r="HK47" s="76">
        <v>144.26</v>
      </c>
      <c r="HL47" s="14">
        <v>55005</v>
      </c>
      <c r="HM47" s="77">
        <f t="shared" si="10"/>
        <v>27</v>
      </c>
      <c r="HN47" s="37"/>
      <c r="HO47" s="38"/>
    </row>
    <row r="48" spans="1:223" ht="16.5" customHeight="1">
      <c r="A48" s="65">
        <v>378</v>
      </c>
      <c r="B48" s="68" t="s">
        <v>189</v>
      </c>
      <c r="C48" s="33" t="s">
        <v>208</v>
      </c>
      <c r="D48" s="42"/>
      <c r="E48" s="75">
        <v>0</v>
      </c>
      <c r="F48" s="76">
        <v>0</v>
      </c>
      <c r="G48" s="76">
        <v>0</v>
      </c>
      <c r="H48" s="76">
        <v>0</v>
      </c>
      <c r="I48" s="76">
        <v>0</v>
      </c>
      <c r="J48" s="77">
        <v>39</v>
      </c>
      <c r="K48" s="38">
        <v>105.71428571428572</v>
      </c>
      <c r="L48" s="75">
        <v>0</v>
      </c>
      <c r="M48" s="76">
        <v>0</v>
      </c>
      <c r="N48" s="76">
        <v>0</v>
      </c>
      <c r="O48" s="76">
        <v>0</v>
      </c>
      <c r="P48" s="76">
        <v>0</v>
      </c>
      <c r="Q48" s="77">
        <v>39</v>
      </c>
      <c r="R48" s="75">
        <v>0</v>
      </c>
      <c r="S48" s="76">
        <v>0</v>
      </c>
      <c r="T48" s="76">
        <v>0</v>
      </c>
      <c r="U48" s="76">
        <v>0</v>
      </c>
      <c r="V48" s="76">
        <v>0</v>
      </c>
      <c r="W48" s="77">
        <v>39</v>
      </c>
      <c r="X48" s="37">
        <v>0</v>
      </c>
      <c r="Y48" s="38">
        <v>115.139077593373</v>
      </c>
      <c r="AA48" s="75">
        <v>0</v>
      </c>
      <c r="AB48" s="76">
        <v>0</v>
      </c>
      <c r="AC48" s="76">
        <v>0</v>
      </c>
      <c r="AD48" s="76">
        <v>0</v>
      </c>
      <c r="AE48" s="76">
        <v>0</v>
      </c>
      <c r="AF48" s="77">
        <v>39</v>
      </c>
      <c r="AG48" s="38">
        <v>0</v>
      </c>
      <c r="AH48" s="75">
        <v>0</v>
      </c>
      <c r="AI48" s="76">
        <v>0</v>
      </c>
      <c r="AJ48" s="76">
        <v>0</v>
      </c>
      <c r="AK48" s="76">
        <v>0</v>
      </c>
      <c r="AL48" s="76">
        <v>0</v>
      </c>
      <c r="AM48" s="77">
        <v>39</v>
      </c>
      <c r="AN48" s="75">
        <v>0</v>
      </c>
      <c r="AO48" s="76">
        <v>0</v>
      </c>
      <c r="AP48" s="76">
        <v>0</v>
      </c>
      <c r="AQ48" s="76">
        <v>0</v>
      </c>
      <c r="AR48" s="76">
        <v>0</v>
      </c>
      <c r="AS48" s="77">
        <v>39</v>
      </c>
      <c r="AT48" s="37">
        <v>0</v>
      </c>
      <c r="AU48" s="38">
        <v>0</v>
      </c>
      <c r="AW48" s="75">
        <v>0</v>
      </c>
      <c r="AX48" s="76">
        <v>0</v>
      </c>
      <c r="AY48" s="76">
        <v>0</v>
      </c>
      <c r="AZ48" s="76">
        <v>0</v>
      </c>
      <c r="BA48" s="76">
        <v>0</v>
      </c>
      <c r="BB48" s="27">
        <v>39</v>
      </c>
      <c r="BC48" s="38">
        <v>0</v>
      </c>
      <c r="BD48" s="24">
        <v>0</v>
      </c>
      <c r="BE48" s="76">
        <v>0</v>
      </c>
      <c r="BF48" s="76">
        <v>0</v>
      </c>
      <c r="BG48" s="76">
        <v>0</v>
      </c>
      <c r="BH48" s="14">
        <v>0</v>
      </c>
      <c r="BI48" s="27">
        <v>39</v>
      </c>
      <c r="BJ48" s="24">
        <v>0</v>
      </c>
      <c r="BK48" s="76">
        <v>0</v>
      </c>
      <c r="BL48" s="76">
        <v>0</v>
      </c>
      <c r="BM48" s="76">
        <v>0</v>
      </c>
      <c r="BN48" s="14">
        <v>0</v>
      </c>
      <c r="BO48" s="27">
        <v>39</v>
      </c>
      <c r="BP48" s="37">
        <v>0</v>
      </c>
      <c r="BQ48" s="38">
        <v>0</v>
      </c>
      <c r="BS48" s="24">
        <v>0</v>
      </c>
      <c r="BT48" s="76">
        <v>0</v>
      </c>
      <c r="BU48" s="76">
        <v>0</v>
      </c>
      <c r="BV48" s="76">
        <v>0</v>
      </c>
      <c r="BW48" s="14">
        <v>0</v>
      </c>
      <c r="BX48" s="27">
        <v>39</v>
      </c>
      <c r="BY48" s="26">
        <v>0</v>
      </c>
      <c r="BZ48" s="24">
        <v>0</v>
      </c>
      <c r="CA48" s="76">
        <v>0</v>
      </c>
      <c r="CB48" s="76">
        <v>0</v>
      </c>
      <c r="CC48" s="76">
        <v>0</v>
      </c>
      <c r="CD48" s="14">
        <v>0</v>
      </c>
      <c r="CE48" s="77">
        <v>39</v>
      </c>
      <c r="CF48" s="24">
        <v>0</v>
      </c>
      <c r="CG48" s="76">
        <v>0</v>
      </c>
      <c r="CH48" s="76">
        <v>0</v>
      </c>
      <c r="CI48" s="76">
        <v>0</v>
      </c>
      <c r="CJ48" s="14">
        <v>0</v>
      </c>
      <c r="CK48" s="77">
        <v>39</v>
      </c>
      <c r="CL48" s="37">
        <v>0</v>
      </c>
      <c r="CM48" s="38">
        <v>0</v>
      </c>
      <c r="CO48" s="75">
        <v>0</v>
      </c>
      <c r="CP48" s="76">
        <v>0</v>
      </c>
      <c r="CQ48" s="76">
        <v>0</v>
      </c>
      <c r="CR48" s="76">
        <v>0</v>
      </c>
      <c r="CS48" s="76">
        <v>0</v>
      </c>
      <c r="CT48" s="45">
        <v>39</v>
      </c>
      <c r="CU48" s="26">
        <v>0</v>
      </c>
      <c r="CV48" s="75">
        <v>32318780</v>
      </c>
      <c r="CW48" s="76">
        <v>422464</v>
      </c>
      <c r="CX48" s="76">
        <v>31896316</v>
      </c>
      <c r="CY48" s="76">
        <v>53.75</v>
      </c>
      <c r="CZ48" s="76">
        <v>49452</v>
      </c>
      <c r="DA48" s="77">
        <v>2</v>
      </c>
      <c r="DB48" s="24">
        <v>31136241</v>
      </c>
      <c r="DC48" s="76">
        <v>421710</v>
      </c>
      <c r="DD48" s="76">
        <v>30714531</v>
      </c>
      <c r="DE48" s="76">
        <v>53</v>
      </c>
      <c r="DF48" s="14">
        <v>48293</v>
      </c>
      <c r="DG48" s="77">
        <v>8</v>
      </c>
      <c r="DH48" s="37">
        <v>97.656313192590787</v>
      </c>
      <c r="DI48" s="38">
        <v>0</v>
      </c>
      <c r="DK48" s="24">
        <v>104693961</v>
      </c>
      <c r="DL48" s="76">
        <v>579433</v>
      </c>
      <c r="DM48" s="76">
        <v>104114528</v>
      </c>
      <c r="DN48" s="76">
        <v>177</v>
      </c>
      <c r="DO48" s="14">
        <v>49018</v>
      </c>
      <c r="DP48" s="77">
        <v>5</v>
      </c>
      <c r="DQ48" s="26">
        <v>0</v>
      </c>
      <c r="DR48" s="24">
        <v>105653961</v>
      </c>
      <c r="DS48" s="76">
        <v>579433</v>
      </c>
      <c r="DT48" s="76">
        <v>105074528</v>
      </c>
      <c r="DU48" s="76">
        <v>184.5</v>
      </c>
      <c r="DV48" s="14">
        <v>47459</v>
      </c>
      <c r="DW48" s="77">
        <v>9</v>
      </c>
      <c r="DX48" s="24">
        <v>105798828</v>
      </c>
      <c r="DY48" s="76">
        <v>1274519</v>
      </c>
      <c r="DZ48" s="76">
        <v>104524309</v>
      </c>
      <c r="EA48" s="76">
        <v>169.06</v>
      </c>
      <c r="EB48" s="14">
        <v>51522</v>
      </c>
      <c r="EC48" s="77">
        <v>9</v>
      </c>
      <c r="ED48" s="37">
        <v>108.5610737689374</v>
      </c>
      <c r="EE48" s="38">
        <v>106.68626923156566</v>
      </c>
      <c r="EG48" s="24">
        <v>101778730</v>
      </c>
      <c r="EH48" s="76">
        <v>579433</v>
      </c>
      <c r="EI48" s="76">
        <v>101199297</v>
      </c>
      <c r="EJ48" s="76">
        <v>203</v>
      </c>
      <c r="EK48" s="14">
        <v>41543</v>
      </c>
      <c r="EL48" s="77">
        <v>27</v>
      </c>
      <c r="EM48" s="26">
        <v>84.750499816393983</v>
      </c>
      <c r="EN48" s="24">
        <v>122954506</v>
      </c>
      <c r="EO48" s="76">
        <v>579433</v>
      </c>
      <c r="EP48" s="76">
        <v>122375073</v>
      </c>
      <c r="EQ48" s="76">
        <v>207</v>
      </c>
      <c r="ER48" s="14">
        <v>49265</v>
      </c>
      <c r="ES48" s="77">
        <v>11</v>
      </c>
      <c r="ET48" s="24">
        <v>123228104.09999999</v>
      </c>
      <c r="EU48" s="76">
        <v>1079885</v>
      </c>
      <c r="EV48" s="76">
        <v>122148219.09999999</v>
      </c>
      <c r="EW48" s="76">
        <v>197.13</v>
      </c>
      <c r="EX48" s="14">
        <v>51636</v>
      </c>
      <c r="EY48" s="27">
        <v>12</v>
      </c>
      <c r="EZ48" s="37">
        <v>104.81274738658277</v>
      </c>
      <c r="FA48" s="38">
        <v>100.2212647024572</v>
      </c>
      <c r="FB48" s="9"/>
      <c r="FC48" s="24">
        <v>139545994</v>
      </c>
      <c r="FD48" s="76">
        <v>579433</v>
      </c>
      <c r="FE48" s="76">
        <v>138966561</v>
      </c>
      <c r="FF48" s="76">
        <v>221</v>
      </c>
      <c r="FG48" s="14">
        <v>52401</v>
      </c>
      <c r="FH48" s="77">
        <v>9</v>
      </c>
      <c r="FI48" s="26">
        <v>126.13677394506897</v>
      </c>
      <c r="FJ48" s="24">
        <v>143284064</v>
      </c>
      <c r="FK48" s="76">
        <v>579433</v>
      </c>
      <c r="FL48" s="76">
        <v>142704631</v>
      </c>
      <c r="FM48" s="76">
        <v>226.83</v>
      </c>
      <c r="FN48" s="14">
        <v>52427</v>
      </c>
      <c r="FO48" s="77">
        <v>8</v>
      </c>
      <c r="FP48" s="24">
        <v>143331061.53999999</v>
      </c>
      <c r="FQ48" s="76">
        <v>753355</v>
      </c>
      <c r="FR48" s="76">
        <v>142577706.53999999</v>
      </c>
      <c r="FS48" s="76">
        <v>217.29</v>
      </c>
      <c r="FT48" s="14">
        <v>54680</v>
      </c>
      <c r="FU48" s="77">
        <v>10</v>
      </c>
      <c r="FV48" s="37">
        <v>104.29740400938448</v>
      </c>
      <c r="FW48" s="38">
        <v>105.89511193740802</v>
      </c>
      <c r="FX48" s="9"/>
      <c r="FY48" s="75">
        <v>239467965</v>
      </c>
      <c r="FZ48" s="76">
        <v>803648</v>
      </c>
      <c r="GA48" s="76">
        <v>238664317</v>
      </c>
      <c r="GB48" s="76">
        <v>373</v>
      </c>
      <c r="GC48" s="76">
        <v>53321</v>
      </c>
      <c r="GD48" s="77">
        <f t="shared" si="0"/>
        <v>14</v>
      </c>
      <c r="GE48" s="26"/>
      <c r="GF48" s="39">
        <v>239687745</v>
      </c>
      <c r="GG48" s="76">
        <v>803648</v>
      </c>
      <c r="GH48" s="76">
        <v>238884097</v>
      </c>
      <c r="GI48" s="76">
        <v>373</v>
      </c>
      <c r="GJ48" s="14">
        <v>53370</v>
      </c>
      <c r="GK48" s="77">
        <f t="shared" si="6"/>
        <v>15</v>
      </c>
      <c r="GL48" s="39">
        <v>239020211</v>
      </c>
      <c r="GM48" s="76">
        <v>1894625</v>
      </c>
      <c r="GN48" s="295">
        <v>237125586</v>
      </c>
      <c r="GO48" s="76">
        <v>357.23</v>
      </c>
      <c r="GP48" s="14">
        <v>55316</v>
      </c>
      <c r="GQ48" s="77">
        <f t="shared" si="7"/>
        <v>18</v>
      </c>
      <c r="GR48" s="37">
        <v>97.656313192590787</v>
      </c>
      <c r="GS48" s="38">
        <v>0</v>
      </c>
      <c r="GU48" s="75">
        <v>259183747</v>
      </c>
      <c r="GV48" s="76">
        <v>803648</v>
      </c>
      <c r="GW48" s="76">
        <v>258380099</v>
      </c>
      <c r="GX48" s="76">
        <v>385</v>
      </c>
      <c r="GY48" s="76">
        <v>55926</v>
      </c>
      <c r="GZ48" s="77">
        <f t="shared" si="8"/>
        <v>13</v>
      </c>
      <c r="HA48" s="26"/>
      <c r="HB48" s="39">
        <v>261641226</v>
      </c>
      <c r="HC48" s="76">
        <v>941502</v>
      </c>
      <c r="HD48" s="76">
        <v>260699724</v>
      </c>
      <c r="HE48" s="76">
        <v>385.17</v>
      </c>
      <c r="HF48" s="14">
        <v>56404</v>
      </c>
      <c r="HG48" s="77">
        <f t="shared" si="9"/>
        <v>16</v>
      </c>
      <c r="HH48" s="39">
        <v>259017236</v>
      </c>
      <c r="HI48" s="76">
        <v>3805621</v>
      </c>
      <c r="HJ48" s="295">
        <v>255211615</v>
      </c>
      <c r="HK48" s="76">
        <v>364.76</v>
      </c>
      <c r="HL48" s="14">
        <v>58306</v>
      </c>
      <c r="HM48" s="77">
        <f t="shared" si="10"/>
        <v>18</v>
      </c>
      <c r="HN48" s="37"/>
      <c r="HO48" s="38"/>
    </row>
    <row r="49" spans="1:223" ht="16.5" customHeight="1" thickBot="1">
      <c r="A49" s="67">
        <v>381</v>
      </c>
      <c r="B49" s="70" t="s">
        <v>60</v>
      </c>
      <c r="C49" s="34" t="s">
        <v>61</v>
      </c>
      <c r="D49" s="42"/>
      <c r="E49" s="75">
        <v>239004000</v>
      </c>
      <c r="F49" s="76">
        <v>20304000</v>
      </c>
      <c r="G49" s="76">
        <v>218700000</v>
      </c>
      <c r="H49" s="76">
        <v>495</v>
      </c>
      <c r="I49" s="76">
        <v>36818</v>
      </c>
      <c r="J49" s="77">
        <v>5</v>
      </c>
      <c r="K49" s="38">
        <v>100</v>
      </c>
      <c r="L49" s="75">
        <v>239004000</v>
      </c>
      <c r="M49" s="76">
        <v>20304000</v>
      </c>
      <c r="N49" s="76">
        <v>218700000</v>
      </c>
      <c r="O49" s="76">
        <v>495</v>
      </c>
      <c r="P49" s="76">
        <v>36818</v>
      </c>
      <c r="Q49" s="77">
        <v>5</v>
      </c>
      <c r="R49" s="75">
        <v>234988998</v>
      </c>
      <c r="S49" s="76">
        <v>16305190</v>
      </c>
      <c r="T49" s="76">
        <v>218683808</v>
      </c>
      <c r="U49" s="76">
        <v>464</v>
      </c>
      <c r="V49" s="76">
        <v>39275</v>
      </c>
      <c r="W49" s="77">
        <v>9</v>
      </c>
      <c r="X49" s="37">
        <v>106.67336628822859</v>
      </c>
      <c r="Y49" s="38">
        <v>116.139077593373</v>
      </c>
      <c r="AA49" s="75">
        <v>243412800</v>
      </c>
      <c r="AB49" s="76">
        <v>20338800</v>
      </c>
      <c r="AC49" s="76">
        <v>223074000</v>
      </c>
      <c r="AD49" s="76">
        <v>495</v>
      </c>
      <c r="AE49" s="76">
        <v>37555</v>
      </c>
      <c r="AF49" s="77">
        <v>7</v>
      </c>
      <c r="AG49" s="38">
        <v>102.00173828018903</v>
      </c>
      <c r="AH49" s="75">
        <v>244714065</v>
      </c>
      <c r="AI49" s="76">
        <v>20338800</v>
      </c>
      <c r="AJ49" s="76">
        <v>224375265</v>
      </c>
      <c r="AK49" s="76">
        <v>495</v>
      </c>
      <c r="AL49" s="76">
        <v>37774</v>
      </c>
      <c r="AM49" s="77">
        <v>7</v>
      </c>
      <c r="AN49" s="75">
        <v>241839555</v>
      </c>
      <c r="AO49" s="76">
        <v>17504602</v>
      </c>
      <c r="AP49" s="76">
        <v>224334953</v>
      </c>
      <c r="AQ49" s="76">
        <v>462</v>
      </c>
      <c r="AR49" s="76">
        <v>40464</v>
      </c>
      <c r="AS49" s="77">
        <v>7</v>
      </c>
      <c r="AT49" s="37">
        <v>107.12130036533065</v>
      </c>
      <c r="AU49" s="38">
        <v>103.02737110120943</v>
      </c>
      <c r="AW49" s="75">
        <v>257799632</v>
      </c>
      <c r="AX49" s="76">
        <v>20614272</v>
      </c>
      <c r="AY49" s="76">
        <v>237185360</v>
      </c>
      <c r="AZ49" s="76">
        <v>485</v>
      </c>
      <c r="BA49" s="76">
        <v>40753</v>
      </c>
      <c r="BB49" s="27">
        <v>6</v>
      </c>
      <c r="BC49" s="38">
        <v>108.5155105844761</v>
      </c>
      <c r="BD49" s="24">
        <v>258985559</v>
      </c>
      <c r="BE49" s="76">
        <v>20614272</v>
      </c>
      <c r="BF49" s="76">
        <v>238371287</v>
      </c>
      <c r="BG49" s="76">
        <v>485</v>
      </c>
      <c r="BH49" s="14">
        <v>40957</v>
      </c>
      <c r="BI49" s="27">
        <v>5</v>
      </c>
      <c r="BJ49" s="24">
        <v>258008174.38</v>
      </c>
      <c r="BK49" s="76">
        <v>19658938</v>
      </c>
      <c r="BL49" s="76">
        <v>238349236.38</v>
      </c>
      <c r="BM49" s="76">
        <v>464</v>
      </c>
      <c r="BN49" s="14">
        <v>42807</v>
      </c>
      <c r="BO49" s="27">
        <v>8</v>
      </c>
      <c r="BP49" s="37">
        <v>104.5169323925092</v>
      </c>
      <c r="BQ49" s="38">
        <v>105.79033214709371</v>
      </c>
      <c r="BS49" s="24">
        <v>270630315</v>
      </c>
      <c r="BT49" s="76">
        <v>21822794</v>
      </c>
      <c r="BU49" s="76">
        <v>248807521</v>
      </c>
      <c r="BV49" s="76">
        <v>495</v>
      </c>
      <c r="BW49" s="14">
        <v>41887</v>
      </c>
      <c r="BX49" s="27">
        <v>7</v>
      </c>
      <c r="BY49" s="26">
        <v>102.78261723063333</v>
      </c>
      <c r="BZ49" s="24">
        <v>272703711</v>
      </c>
      <c r="CA49" s="76">
        <v>21822794</v>
      </c>
      <c r="CB49" s="76">
        <v>250880917</v>
      </c>
      <c r="CC49" s="76">
        <v>495</v>
      </c>
      <c r="CD49" s="14">
        <v>42236</v>
      </c>
      <c r="CE49" s="77">
        <v>5</v>
      </c>
      <c r="CF49" s="24">
        <v>269610176.94999999</v>
      </c>
      <c r="CG49" s="76">
        <v>18766372</v>
      </c>
      <c r="CH49" s="76">
        <v>250843804.94999999</v>
      </c>
      <c r="CI49" s="76">
        <v>460</v>
      </c>
      <c r="CJ49" s="14">
        <v>45443</v>
      </c>
      <c r="CK49" s="77">
        <v>5</v>
      </c>
      <c r="CL49" s="37">
        <v>107.59304858414622</v>
      </c>
      <c r="CM49" s="38">
        <v>106.1578713761768</v>
      </c>
      <c r="CO49" s="75">
        <v>284666691</v>
      </c>
      <c r="CP49" s="76">
        <v>23418794</v>
      </c>
      <c r="CQ49" s="76">
        <v>261247897</v>
      </c>
      <c r="CR49" s="76">
        <v>495</v>
      </c>
      <c r="CS49" s="76">
        <v>43981</v>
      </c>
      <c r="CT49" s="45">
        <v>5</v>
      </c>
      <c r="CU49" s="26">
        <v>104.99916441855468</v>
      </c>
      <c r="CV49" s="75">
        <v>288674409</v>
      </c>
      <c r="CW49" s="76">
        <v>23418794</v>
      </c>
      <c r="CX49" s="76">
        <v>265255615</v>
      </c>
      <c r="CY49" s="76">
        <v>495</v>
      </c>
      <c r="CZ49" s="76">
        <v>44656</v>
      </c>
      <c r="DA49" s="77">
        <v>7</v>
      </c>
      <c r="DB49" s="24">
        <v>285526696.77999997</v>
      </c>
      <c r="DC49" s="76">
        <v>19884268</v>
      </c>
      <c r="DD49" s="76">
        <v>265642428.78</v>
      </c>
      <c r="DE49" s="76">
        <v>457</v>
      </c>
      <c r="DF49" s="14">
        <v>48440</v>
      </c>
      <c r="DG49" s="77">
        <v>7</v>
      </c>
      <c r="DH49" s="37">
        <v>108.47366535292009</v>
      </c>
      <c r="DI49" s="38">
        <v>106.59507514908786</v>
      </c>
      <c r="DK49" s="24">
        <v>309680602</v>
      </c>
      <c r="DL49" s="76">
        <v>24520394</v>
      </c>
      <c r="DM49" s="76">
        <v>285160208</v>
      </c>
      <c r="DN49" s="76">
        <v>495</v>
      </c>
      <c r="DO49" s="14">
        <v>48007</v>
      </c>
      <c r="DP49" s="77">
        <v>7</v>
      </c>
      <c r="DQ49" s="26">
        <v>109.15395284327323</v>
      </c>
      <c r="DR49" s="24">
        <v>309680602</v>
      </c>
      <c r="DS49" s="76">
        <v>24520394</v>
      </c>
      <c r="DT49" s="76">
        <v>285160208</v>
      </c>
      <c r="DU49" s="76">
        <v>495</v>
      </c>
      <c r="DV49" s="14">
        <v>48007</v>
      </c>
      <c r="DW49" s="77">
        <v>6</v>
      </c>
      <c r="DX49" s="24">
        <v>311202868.64999998</v>
      </c>
      <c r="DY49" s="76">
        <v>23521901.649999999</v>
      </c>
      <c r="DZ49" s="76">
        <v>287680967</v>
      </c>
      <c r="EA49" s="76">
        <v>459.69</v>
      </c>
      <c r="EB49" s="14">
        <v>52151</v>
      </c>
      <c r="EC49" s="77">
        <v>7</v>
      </c>
      <c r="ED49" s="37">
        <v>108.63207448913701</v>
      </c>
      <c r="EE49" s="38">
        <v>107.66102394715111</v>
      </c>
      <c r="EG49" s="24">
        <v>331714614</v>
      </c>
      <c r="EH49" s="76">
        <v>26898794</v>
      </c>
      <c r="EI49" s="76">
        <v>304815820</v>
      </c>
      <c r="EJ49" s="76">
        <v>495</v>
      </c>
      <c r="EK49" s="14">
        <v>51316</v>
      </c>
      <c r="EL49" s="77">
        <v>4</v>
      </c>
      <c r="EM49" s="26">
        <v>106.89274480804882</v>
      </c>
      <c r="EN49" s="24">
        <v>331714614</v>
      </c>
      <c r="EO49" s="76">
        <v>26898794</v>
      </c>
      <c r="EP49" s="76">
        <v>304815820</v>
      </c>
      <c r="EQ49" s="76">
        <v>495</v>
      </c>
      <c r="ER49" s="14">
        <v>51316</v>
      </c>
      <c r="ES49" s="77">
        <v>6</v>
      </c>
      <c r="ET49" s="24">
        <v>329946021</v>
      </c>
      <c r="EU49" s="76">
        <v>25194221</v>
      </c>
      <c r="EV49" s="76">
        <v>304751800</v>
      </c>
      <c r="EW49" s="76">
        <v>460.44</v>
      </c>
      <c r="EX49" s="14">
        <v>55156</v>
      </c>
      <c r="EY49" s="27">
        <v>5</v>
      </c>
      <c r="EZ49" s="37">
        <v>107.48304622340011</v>
      </c>
      <c r="FA49" s="38">
        <v>105.76211386167091</v>
      </c>
      <c r="FB49" s="9"/>
      <c r="FC49" s="24">
        <v>343193814</v>
      </c>
      <c r="FD49" s="76">
        <v>29467994</v>
      </c>
      <c r="FE49" s="76">
        <v>313725820</v>
      </c>
      <c r="FF49" s="76">
        <v>495</v>
      </c>
      <c r="FG49" s="14">
        <v>52816</v>
      </c>
      <c r="FH49" s="77">
        <v>8</v>
      </c>
      <c r="FI49" s="26">
        <v>102.92306493101566</v>
      </c>
      <c r="FJ49" s="24">
        <v>343193814</v>
      </c>
      <c r="FK49" s="76">
        <v>29467994</v>
      </c>
      <c r="FL49" s="76">
        <v>313725820</v>
      </c>
      <c r="FM49" s="76">
        <v>495</v>
      </c>
      <c r="FN49" s="14">
        <v>52816</v>
      </c>
      <c r="FO49" s="77">
        <v>7</v>
      </c>
      <c r="FP49" s="24">
        <v>341360355.55000001</v>
      </c>
      <c r="FQ49" s="76">
        <v>27785704.550000001</v>
      </c>
      <c r="FR49" s="76">
        <v>313574651</v>
      </c>
      <c r="FS49" s="76">
        <v>467.53</v>
      </c>
      <c r="FT49" s="14">
        <v>55892</v>
      </c>
      <c r="FU49" s="77">
        <v>8</v>
      </c>
      <c r="FV49" s="37">
        <v>105.82399272947592</v>
      </c>
      <c r="FW49" s="38">
        <v>101.33439698310247</v>
      </c>
      <c r="FX49" s="9"/>
      <c r="FY49" s="75">
        <v>366875024</v>
      </c>
      <c r="FZ49" s="76">
        <v>32988794</v>
      </c>
      <c r="GA49" s="76">
        <v>333886230</v>
      </c>
      <c r="GB49" s="76">
        <v>485</v>
      </c>
      <c r="GC49" s="76">
        <v>57369</v>
      </c>
      <c r="GD49" s="77">
        <f t="shared" si="0"/>
        <v>6</v>
      </c>
      <c r="GE49" s="26"/>
      <c r="GF49" s="39">
        <v>366875024</v>
      </c>
      <c r="GG49" s="76">
        <v>32988794</v>
      </c>
      <c r="GH49" s="76">
        <v>333886230</v>
      </c>
      <c r="GI49" s="76">
        <v>485</v>
      </c>
      <c r="GJ49" s="14">
        <v>57369</v>
      </c>
      <c r="GK49" s="77">
        <f t="shared" si="6"/>
        <v>7</v>
      </c>
      <c r="GL49" s="39">
        <v>352532243</v>
      </c>
      <c r="GM49" s="76">
        <v>31009531.710000001</v>
      </c>
      <c r="GN49" s="295">
        <v>321522711.29000002</v>
      </c>
      <c r="GO49" s="76">
        <v>433.12</v>
      </c>
      <c r="GP49" s="14">
        <v>61862</v>
      </c>
      <c r="GQ49" s="77">
        <f t="shared" si="7"/>
        <v>7</v>
      </c>
      <c r="GR49" s="37">
        <v>108.47366535292009</v>
      </c>
      <c r="GS49" s="38">
        <v>106.59507514908786</v>
      </c>
      <c r="GU49" s="75">
        <v>387824536</v>
      </c>
      <c r="GV49" s="76">
        <v>37243994</v>
      </c>
      <c r="GW49" s="76">
        <v>350580542</v>
      </c>
      <c r="GX49" s="76">
        <v>475</v>
      </c>
      <c r="GY49" s="76">
        <v>61505</v>
      </c>
      <c r="GZ49" s="77">
        <f t="shared" si="8"/>
        <v>4</v>
      </c>
      <c r="HA49" s="26"/>
      <c r="HB49" s="39">
        <v>387824536</v>
      </c>
      <c r="HC49" s="76">
        <v>37243994</v>
      </c>
      <c r="HD49" s="76">
        <v>350580542</v>
      </c>
      <c r="HE49" s="76">
        <v>475</v>
      </c>
      <c r="HF49" s="14">
        <v>61505</v>
      </c>
      <c r="HG49" s="77">
        <f t="shared" si="9"/>
        <v>4</v>
      </c>
      <c r="HH49" s="39">
        <v>384145688</v>
      </c>
      <c r="HI49" s="76">
        <v>33481326</v>
      </c>
      <c r="HJ49" s="295">
        <v>350664362</v>
      </c>
      <c r="HK49" s="76">
        <v>436.13</v>
      </c>
      <c r="HL49" s="14">
        <v>67003</v>
      </c>
      <c r="HM49" s="77">
        <f t="shared" si="10"/>
        <v>5</v>
      </c>
      <c r="HN49" s="37"/>
      <c r="HO49" s="38"/>
    </row>
    <row r="50" spans="1:223" ht="14">
      <c r="A50" s="342" t="s">
        <v>180</v>
      </c>
      <c r="B50" s="343"/>
      <c r="C50" s="46"/>
      <c r="D50" s="43"/>
      <c r="E50" s="49"/>
      <c r="F50" s="50"/>
      <c r="G50" s="50"/>
      <c r="H50" s="50"/>
      <c r="I50" s="50"/>
      <c r="J50" s="51"/>
      <c r="K50" s="52"/>
      <c r="L50" s="49"/>
      <c r="M50" s="50"/>
      <c r="N50" s="50"/>
      <c r="O50" s="50"/>
      <c r="P50" s="50"/>
      <c r="Q50" s="51"/>
      <c r="R50" s="49"/>
      <c r="S50" s="50"/>
      <c r="T50" s="50"/>
      <c r="U50" s="50"/>
      <c r="V50" s="50"/>
      <c r="W50" s="51"/>
      <c r="X50" s="53"/>
      <c r="Y50" s="52"/>
      <c r="AA50" s="49"/>
      <c r="AB50" s="50"/>
      <c r="AC50" s="50"/>
      <c r="AD50" s="50"/>
      <c r="AE50" s="50"/>
      <c r="AF50" s="51"/>
      <c r="AG50" s="52"/>
      <c r="AH50" s="49"/>
      <c r="AI50" s="50"/>
      <c r="AJ50" s="50"/>
      <c r="AK50" s="50"/>
      <c r="AL50" s="50"/>
      <c r="AM50" s="51"/>
      <c r="AN50" s="49"/>
      <c r="AO50" s="50"/>
      <c r="AP50" s="50"/>
      <c r="AQ50" s="50"/>
      <c r="AR50" s="50"/>
      <c r="AS50" s="51"/>
      <c r="AT50" s="53"/>
      <c r="AU50" s="52"/>
      <c r="AW50" s="49"/>
      <c r="AX50" s="50"/>
      <c r="AY50" s="50"/>
      <c r="AZ50" s="50"/>
      <c r="BA50" s="50"/>
      <c r="BB50" s="51"/>
      <c r="BC50" s="52"/>
      <c r="BD50" s="49"/>
      <c r="BE50" s="50"/>
      <c r="BF50" s="50"/>
      <c r="BG50" s="50"/>
      <c r="BH50" s="50"/>
      <c r="BI50" s="51"/>
      <c r="BJ50" s="49"/>
      <c r="BK50" s="50"/>
      <c r="BL50" s="50"/>
      <c r="BM50" s="50"/>
      <c r="BN50" s="50"/>
      <c r="BO50" s="51"/>
      <c r="BP50" s="53"/>
      <c r="BQ50" s="52"/>
      <c r="BS50" s="49"/>
      <c r="BT50" s="50"/>
      <c r="BU50" s="50"/>
      <c r="BV50" s="50"/>
      <c r="BW50" s="50"/>
      <c r="BX50" s="51"/>
      <c r="BY50" s="52"/>
      <c r="BZ50" s="49"/>
      <c r="CA50" s="50"/>
      <c r="CB50" s="50"/>
      <c r="CC50" s="50"/>
      <c r="CD50" s="50"/>
      <c r="CE50" s="51"/>
      <c r="CF50" s="49"/>
      <c r="CG50" s="50"/>
      <c r="CH50" s="50"/>
      <c r="CI50" s="50"/>
      <c r="CJ50" s="50"/>
      <c r="CK50" s="51"/>
      <c r="CL50" s="53"/>
      <c r="CM50" s="52"/>
      <c r="CO50" s="49"/>
      <c r="CP50" s="50"/>
      <c r="CQ50" s="50"/>
      <c r="CR50" s="50"/>
      <c r="CS50" s="50"/>
      <c r="CT50" s="51"/>
      <c r="CU50" s="52"/>
      <c r="CV50" s="49"/>
      <c r="CW50" s="50"/>
      <c r="CX50" s="50"/>
      <c r="CY50" s="50"/>
      <c r="CZ50" s="50"/>
      <c r="DA50" s="51"/>
      <c r="DB50" s="49"/>
      <c r="DC50" s="50"/>
      <c r="DD50" s="50"/>
      <c r="DE50" s="50"/>
      <c r="DF50" s="50"/>
      <c r="DG50" s="51"/>
      <c r="DH50" s="53"/>
      <c r="DI50" s="52"/>
      <c r="DK50" s="49"/>
      <c r="DL50" s="50"/>
      <c r="DM50" s="50"/>
      <c r="DN50" s="50"/>
      <c r="DO50" s="50"/>
      <c r="DP50" s="51"/>
      <c r="DQ50" s="52"/>
      <c r="DR50" s="49"/>
      <c r="DS50" s="50"/>
      <c r="DT50" s="50"/>
      <c r="DU50" s="50"/>
      <c r="DV50" s="50"/>
      <c r="DW50" s="51"/>
      <c r="DX50" s="49"/>
      <c r="DY50" s="50"/>
      <c r="DZ50" s="50"/>
      <c r="EA50" s="50"/>
      <c r="EB50" s="50"/>
      <c r="EC50" s="51"/>
      <c r="ED50" s="53"/>
      <c r="EE50" s="52"/>
      <c r="EG50" s="49"/>
      <c r="EH50" s="50"/>
      <c r="EI50" s="50"/>
      <c r="EJ50" s="50"/>
      <c r="EK50" s="50"/>
      <c r="EL50" s="51"/>
      <c r="EM50" s="52"/>
      <c r="EN50" s="49"/>
      <c r="EO50" s="50"/>
      <c r="EP50" s="50"/>
      <c r="EQ50" s="50"/>
      <c r="ER50" s="50"/>
      <c r="ES50" s="51"/>
      <c r="ET50" s="49"/>
      <c r="EU50" s="50"/>
      <c r="EV50" s="50"/>
      <c r="EW50" s="50"/>
      <c r="EX50" s="50"/>
      <c r="EY50" s="51"/>
      <c r="EZ50" s="53"/>
      <c r="FA50" s="52"/>
      <c r="FC50" s="49"/>
      <c r="FD50" s="50"/>
      <c r="FE50" s="50"/>
      <c r="FF50" s="50"/>
      <c r="FG50" s="50"/>
      <c r="FH50" s="51"/>
      <c r="FI50" s="52"/>
      <c r="FJ50" s="49"/>
      <c r="FK50" s="50"/>
      <c r="FL50" s="50"/>
      <c r="FM50" s="50"/>
      <c r="FN50" s="50"/>
      <c r="FO50" s="51"/>
      <c r="FP50" s="49"/>
      <c r="FQ50" s="50"/>
      <c r="FR50" s="50"/>
      <c r="FS50" s="50"/>
      <c r="FT50" s="50"/>
      <c r="FU50" s="51"/>
      <c r="FV50" s="53"/>
      <c r="FW50" s="52"/>
      <c r="FY50" s="49"/>
      <c r="FZ50" s="50"/>
      <c r="GA50" s="50"/>
      <c r="GB50" s="50"/>
      <c r="GC50" s="50"/>
      <c r="GD50" s="51"/>
      <c r="GE50" s="52"/>
      <c r="GF50" s="53"/>
      <c r="GG50" s="50"/>
      <c r="GH50" s="50"/>
      <c r="GI50" s="50"/>
      <c r="GJ50" s="50"/>
      <c r="GK50" s="51"/>
      <c r="GL50" s="53"/>
      <c r="GM50" s="50"/>
      <c r="GN50" s="296"/>
      <c r="GO50" s="50"/>
      <c r="GP50" s="50"/>
      <c r="GQ50" s="188"/>
      <c r="GR50" s="53"/>
      <c r="GS50" s="52"/>
      <c r="GU50" s="49"/>
      <c r="GV50" s="50"/>
      <c r="GW50" s="50"/>
      <c r="GX50" s="50"/>
      <c r="GY50" s="50"/>
      <c r="GZ50" s="51"/>
      <c r="HA50" s="52"/>
      <c r="HB50" s="53"/>
      <c r="HC50" s="50"/>
      <c r="HD50" s="50"/>
      <c r="HE50" s="50"/>
      <c r="HF50" s="50"/>
      <c r="HG50" s="51"/>
      <c r="HH50" s="53"/>
      <c r="HI50" s="50"/>
      <c r="HJ50" s="296"/>
      <c r="HK50" s="50"/>
      <c r="HL50" s="50"/>
      <c r="HM50" s="298"/>
      <c r="HN50" s="53"/>
      <c r="HO50" s="52"/>
    </row>
    <row r="51" spans="1:223" ht="14">
      <c r="A51" s="344"/>
      <c r="B51" s="345"/>
      <c r="C51" s="35" t="s">
        <v>62</v>
      </c>
      <c r="D51" s="43"/>
      <c r="E51" s="20">
        <v>66405697000</v>
      </c>
      <c r="F51" s="78">
        <v>5447591000</v>
      </c>
      <c r="G51" s="78">
        <v>60958106000</v>
      </c>
      <c r="H51" s="78">
        <v>194400</v>
      </c>
      <c r="I51" s="78">
        <v>26131</v>
      </c>
      <c r="J51" s="74" t="s">
        <v>63</v>
      </c>
      <c r="K51" s="25">
        <v>101.36545250009699</v>
      </c>
      <c r="L51" s="20">
        <v>68071874379</v>
      </c>
      <c r="M51" s="78">
        <v>6408665227</v>
      </c>
      <c r="N51" s="78">
        <v>61663209152</v>
      </c>
      <c r="O51" s="78">
        <v>194585</v>
      </c>
      <c r="P51" s="78">
        <v>26408</v>
      </c>
      <c r="Q51" s="11" t="s">
        <v>63</v>
      </c>
      <c r="R51" s="20">
        <v>68566133470</v>
      </c>
      <c r="S51" s="78">
        <v>6208989086</v>
      </c>
      <c r="T51" s="78">
        <v>62357144384</v>
      </c>
      <c r="U51" s="78">
        <v>186013</v>
      </c>
      <c r="V51" s="78">
        <v>27936</v>
      </c>
      <c r="W51" s="11" t="s">
        <v>63</v>
      </c>
      <c r="X51" s="40">
        <v>105.78612541654044</v>
      </c>
      <c r="Y51" s="25">
        <v>101.96364698153151</v>
      </c>
      <c r="Z51" s="12"/>
      <c r="AA51" s="20">
        <v>69697890995</v>
      </c>
      <c r="AB51" s="78">
        <v>5897650565</v>
      </c>
      <c r="AC51" s="78">
        <v>63800240430</v>
      </c>
      <c r="AD51" s="78">
        <v>194357</v>
      </c>
      <c r="AE51" s="78">
        <v>27355</v>
      </c>
      <c r="AF51" s="11" t="s">
        <v>63</v>
      </c>
      <c r="AG51" s="25">
        <v>104.68409169186023</v>
      </c>
      <c r="AH51" s="20">
        <v>70654852989</v>
      </c>
      <c r="AI51" s="78">
        <v>6272419376</v>
      </c>
      <c r="AJ51" s="78">
        <v>64382433613</v>
      </c>
      <c r="AK51" s="78">
        <v>194278</v>
      </c>
      <c r="AL51" s="78">
        <v>27616</v>
      </c>
      <c r="AM51" s="11" t="s">
        <v>63</v>
      </c>
      <c r="AN51" s="20">
        <v>71535229869</v>
      </c>
      <c r="AO51" s="10">
        <v>6221061508</v>
      </c>
      <c r="AP51" s="10">
        <v>65314168361</v>
      </c>
      <c r="AQ51" s="10">
        <v>187372</v>
      </c>
      <c r="AR51" s="10">
        <v>29048.349611557045</v>
      </c>
      <c r="AS51" s="11" t="s">
        <v>63</v>
      </c>
      <c r="AT51" s="40">
        <v>105.18666574289198</v>
      </c>
      <c r="AU51" s="25">
        <v>103.98177839188519</v>
      </c>
      <c r="AV51" s="12"/>
      <c r="AW51" s="20">
        <v>73894120551</v>
      </c>
      <c r="AX51" s="10">
        <v>6256612577</v>
      </c>
      <c r="AY51" s="10">
        <v>67637507974</v>
      </c>
      <c r="AZ51" s="10">
        <v>194061</v>
      </c>
      <c r="BA51" s="10">
        <v>29044.779723042408</v>
      </c>
      <c r="BB51" s="11" t="s">
        <v>63</v>
      </c>
      <c r="BC51" s="25">
        <v>106.17722435767651</v>
      </c>
      <c r="BD51" s="20">
        <v>76239178746</v>
      </c>
      <c r="BE51" s="10">
        <v>7195033613</v>
      </c>
      <c r="BF51" s="10">
        <v>69044145133</v>
      </c>
      <c r="BG51" s="10">
        <v>195487</v>
      </c>
      <c r="BH51" s="10">
        <v>29432.539049058676</v>
      </c>
      <c r="BI51" s="11" t="s">
        <v>63</v>
      </c>
      <c r="BJ51" s="20">
        <v>77292601615.179993</v>
      </c>
      <c r="BK51" s="10">
        <v>7155628321.2600002</v>
      </c>
      <c r="BL51" s="10">
        <v>70136973293.919998</v>
      </c>
      <c r="BM51" s="10">
        <v>190438</v>
      </c>
      <c r="BN51" s="10">
        <v>30691.07937750519</v>
      </c>
      <c r="BO51" s="11" t="s">
        <v>63</v>
      </c>
      <c r="BP51" s="40">
        <v>104.2760168477098</v>
      </c>
      <c r="BQ51" s="25">
        <v>105.655156963873</v>
      </c>
      <c r="BR51" s="12"/>
      <c r="BS51" s="20">
        <v>80514442825</v>
      </c>
      <c r="BT51" s="10">
        <v>6361990939</v>
      </c>
      <c r="BU51" s="10">
        <v>74152451886</v>
      </c>
      <c r="BV51" s="10">
        <v>201126</v>
      </c>
      <c r="BW51" s="10">
        <v>30723.879510853891</v>
      </c>
      <c r="BX51" s="11" t="s">
        <v>63</v>
      </c>
      <c r="BY51" s="25">
        <v>105.7810725501195</v>
      </c>
      <c r="BZ51" s="20">
        <v>82209740937</v>
      </c>
      <c r="CA51" s="10">
        <v>6700928861</v>
      </c>
      <c r="CB51" s="10">
        <v>75508812076</v>
      </c>
      <c r="CC51" s="10">
        <v>201957</v>
      </c>
      <c r="CD51" s="10">
        <v>31157.132490249573</v>
      </c>
      <c r="CE51" s="11" t="s">
        <v>63</v>
      </c>
      <c r="CF51" s="20">
        <v>81321594150.509995</v>
      </c>
      <c r="CG51" s="10">
        <v>6421091021.6700001</v>
      </c>
      <c r="CH51" s="10">
        <v>74900503128.839996</v>
      </c>
      <c r="CI51" s="10">
        <v>192311.65640000001</v>
      </c>
      <c r="CJ51" s="10">
        <v>32456.215660102855</v>
      </c>
      <c r="CK51" s="11" t="s">
        <v>63</v>
      </c>
      <c r="CL51" s="40">
        <v>104.1694567696813</v>
      </c>
      <c r="CM51" s="25">
        <v>105.75130076360692</v>
      </c>
      <c r="CN51" s="12"/>
      <c r="CO51" s="20">
        <v>87539849225</v>
      </c>
      <c r="CP51" s="10">
        <v>6671550892</v>
      </c>
      <c r="CQ51" s="10">
        <v>80868298333</v>
      </c>
      <c r="CR51" s="10">
        <v>205693.75999999998</v>
      </c>
      <c r="CS51" s="10">
        <v>32762.417591488116</v>
      </c>
      <c r="CT51" s="11" t="s">
        <v>63</v>
      </c>
      <c r="CU51" s="25">
        <v>106.63502823565648</v>
      </c>
      <c r="CV51" s="20">
        <v>89874968897</v>
      </c>
      <c r="CW51" s="10">
        <v>6985026875</v>
      </c>
      <c r="CX51" s="10">
        <v>82889942022</v>
      </c>
      <c r="CY51" s="10">
        <v>205073.33000000005</v>
      </c>
      <c r="CZ51" s="10">
        <v>33683.049709584368</v>
      </c>
      <c r="DA51" s="11" t="s">
        <v>63</v>
      </c>
      <c r="DB51" s="20">
        <v>89140215289.459991</v>
      </c>
      <c r="DC51" s="10">
        <v>6693446901.1700001</v>
      </c>
      <c r="DD51" s="10">
        <v>82446768388.289993</v>
      </c>
      <c r="DE51" s="10">
        <v>194160.11499999999</v>
      </c>
      <c r="DF51" s="10">
        <v>35386.073150798758</v>
      </c>
      <c r="DG51" s="11" t="s">
        <v>63</v>
      </c>
      <c r="DH51" s="40">
        <v>105.05602508056093</v>
      </c>
      <c r="DI51" s="25">
        <v>109.02710753890344</v>
      </c>
      <c r="DJ51" s="12"/>
      <c r="DK51" s="20">
        <v>99001512715</v>
      </c>
      <c r="DL51" s="10">
        <v>7283921181</v>
      </c>
      <c r="DM51" s="10">
        <v>91717591534</v>
      </c>
      <c r="DN51" s="10">
        <v>207859.58000000002</v>
      </c>
      <c r="DO51" s="10">
        <v>36770.653668372332</v>
      </c>
      <c r="DP51" s="11" t="s">
        <v>63</v>
      </c>
      <c r="DQ51" s="25">
        <v>112.23425000823377</v>
      </c>
      <c r="DR51" s="20">
        <v>99163871560</v>
      </c>
      <c r="DS51" s="10">
        <v>7366624180</v>
      </c>
      <c r="DT51" s="10">
        <v>91797247380</v>
      </c>
      <c r="DU51" s="10">
        <v>208082.32</v>
      </c>
      <c r="DV51" s="10">
        <v>36763.193600494262</v>
      </c>
      <c r="DW51" s="11" t="s">
        <v>63</v>
      </c>
      <c r="DX51" s="20">
        <v>99112553824.630005</v>
      </c>
      <c r="DY51" s="10">
        <v>7191749707.7799988</v>
      </c>
      <c r="DZ51" s="10">
        <v>91920804116.850006</v>
      </c>
      <c r="EA51" s="10">
        <v>197131.20000000004</v>
      </c>
      <c r="EB51" s="10">
        <v>38857.710041523103</v>
      </c>
      <c r="EC51" s="11" t="s">
        <v>63</v>
      </c>
      <c r="ED51" s="40">
        <v>105.69731907350042</v>
      </c>
      <c r="EE51" s="25">
        <v>109.81074355419396</v>
      </c>
      <c r="EF51" s="12"/>
      <c r="EG51" s="20">
        <v>105551774766</v>
      </c>
      <c r="EH51" s="10">
        <v>8301331911</v>
      </c>
      <c r="EI51" s="10">
        <v>97250442855</v>
      </c>
      <c r="EJ51" s="10">
        <v>207946.12000000002</v>
      </c>
      <c r="EK51" s="10">
        <v>38972.612575074731</v>
      </c>
      <c r="EL51" s="11" t="s">
        <v>63</v>
      </c>
      <c r="EM51" s="25">
        <v>105.98835943076088</v>
      </c>
      <c r="EN51" s="20">
        <v>106173150626</v>
      </c>
      <c r="EO51" s="10">
        <v>8363972315</v>
      </c>
      <c r="EP51" s="10">
        <v>97809178311</v>
      </c>
      <c r="EQ51" s="10">
        <v>209267.97</v>
      </c>
      <c r="ER51" s="10">
        <v>38948.936424671199</v>
      </c>
      <c r="ES51" s="11" t="s">
        <v>63</v>
      </c>
      <c r="ET51" s="20">
        <v>106624600414.98001</v>
      </c>
      <c r="EU51" s="10">
        <v>8378926301.9099998</v>
      </c>
      <c r="EV51" s="10">
        <v>98245674113.070007</v>
      </c>
      <c r="EW51" s="10">
        <v>198790.73000000004</v>
      </c>
      <c r="EX51" s="10">
        <v>41184.714747123762</v>
      </c>
      <c r="EY51" s="11" t="s">
        <v>63</v>
      </c>
      <c r="EZ51" s="40">
        <v>105.74028080786402</v>
      </c>
      <c r="FA51" s="25">
        <v>105.98852763869522</v>
      </c>
      <c r="FB51" s="12"/>
      <c r="FC51" s="20">
        <v>110291546070</v>
      </c>
      <c r="FD51" s="10">
        <v>8812256846</v>
      </c>
      <c r="FE51" s="10">
        <v>101479289224</v>
      </c>
      <c r="FF51" s="10">
        <v>207664.65999999997</v>
      </c>
      <c r="FG51" s="10">
        <v>40722.419670893134</v>
      </c>
      <c r="FH51" s="11" t="s">
        <v>63</v>
      </c>
      <c r="FI51" s="25">
        <v>104.48983781225256</v>
      </c>
      <c r="FJ51" s="20">
        <v>111801515059</v>
      </c>
      <c r="FK51" s="10">
        <v>8837576042</v>
      </c>
      <c r="FL51" s="10">
        <v>102963939017</v>
      </c>
      <c r="FM51" s="10">
        <v>207461.96999999994</v>
      </c>
      <c r="FN51" s="10">
        <v>41358.559602112473</v>
      </c>
      <c r="FO51" s="11" t="s">
        <v>63</v>
      </c>
      <c r="FP51" s="20">
        <v>111666941175.01997</v>
      </c>
      <c r="FQ51" s="10">
        <v>8802861444.8799992</v>
      </c>
      <c r="FR51" s="10">
        <v>102864079730.13997</v>
      </c>
      <c r="FS51" s="10">
        <v>198393.67999999993</v>
      </c>
      <c r="FT51" s="10">
        <v>43207.055003860674</v>
      </c>
      <c r="FU51" s="11" t="s">
        <v>63</v>
      </c>
      <c r="FV51" s="40">
        <v>104.46943853831357</v>
      </c>
      <c r="FW51" s="25">
        <v>104.91041462628594</v>
      </c>
      <c r="FX51" s="12"/>
      <c r="FY51" s="20">
        <f>SUM(FY6:FY49)</f>
        <v>122366032840</v>
      </c>
      <c r="FZ51" s="10">
        <f t="shared" ref="FZ51:GB51" si="11">SUM(FZ6:FZ49)</f>
        <v>9537528624</v>
      </c>
      <c r="GA51" s="10">
        <f t="shared" si="11"/>
        <v>112828504216</v>
      </c>
      <c r="GB51" s="10">
        <f t="shared" si="11"/>
        <v>211967.28</v>
      </c>
      <c r="GC51" s="10">
        <f>IF(GB51=0,0,ROUND(GA51/GB51/12,0))</f>
        <v>44358</v>
      </c>
      <c r="GD51" s="11" t="s">
        <v>63</v>
      </c>
      <c r="GE51" s="25"/>
      <c r="GF51" s="20">
        <f>SUM(GF6:GF49)</f>
        <v>126302266934</v>
      </c>
      <c r="GG51" s="10">
        <f t="shared" ref="GG51:GI51" si="12">SUM(GG6:GG49)</f>
        <v>10451329706</v>
      </c>
      <c r="GH51" s="10">
        <f t="shared" si="12"/>
        <v>115850937228</v>
      </c>
      <c r="GI51" s="10">
        <f t="shared" si="12"/>
        <v>210934.35000000006</v>
      </c>
      <c r="GJ51" s="10">
        <f>IF(GI51=0,0,ROUND(GH51/GI51/12,0))</f>
        <v>45769</v>
      </c>
      <c r="GK51" s="11" t="s">
        <v>63</v>
      </c>
      <c r="GL51" s="20">
        <f>SUM(GL6:GL49)</f>
        <v>124867000307.32997</v>
      </c>
      <c r="GM51" s="10">
        <f t="shared" ref="GM51:GO51" si="13">SUM(GM6:GM49)</f>
        <v>10375834855.019999</v>
      </c>
      <c r="GN51" s="10">
        <f t="shared" si="13"/>
        <v>114491165452.30998</v>
      </c>
      <c r="GO51" s="10">
        <f t="shared" si="13"/>
        <v>195689.00999999995</v>
      </c>
      <c r="GP51" s="10">
        <f>IF(GO51=0,0,ROUND(GN51/GO51/12,0))</f>
        <v>48756</v>
      </c>
      <c r="GQ51" s="100" t="s">
        <v>63</v>
      </c>
      <c r="GR51" s="40">
        <v>105.05602508056093</v>
      </c>
      <c r="GS51" s="25">
        <v>109.02710753890344</v>
      </c>
      <c r="GU51" s="20">
        <f>SUM(GU6:GU49)</f>
        <v>132545486998</v>
      </c>
      <c r="GV51" s="10">
        <f t="shared" ref="GV51:GX51" si="14">SUM(GV6:GV49)</f>
        <v>10277308974</v>
      </c>
      <c r="GW51" s="10">
        <f t="shared" si="14"/>
        <v>122268178024</v>
      </c>
      <c r="GX51" s="10">
        <f t="shared" si="14"/>
        <v>212186.86666666664</v>
      </c>
      <c r="GY51" s="10">
        <f>IF(GX51=0,0,ROUND(GW51/GX51/12,0))</f>
        <v>48019</v>
      </c>
      <c r="GZ51" s="11" t="s">
        <v>63</v>
      </c>
      <c r="HA51" s="25"/>
      <c r="HB51" s="20">
        <f>SUM(HB6:HB49)</f>
        <v>133715175075</v>
      </c>
      <c r="HC51" s="10">
        <f t="shared" ref="HC51:HE51" si="15">SUM(HC6:HC49)</f>
        <v>10842470205</v>
      </c>
      <c r="HD51" s="10">
        <f t="shared" si="15"/>
        <v>122872704870</v>
      </c>
      <c r="HE51" s="10">
        <f t="shared" si="15"/>
        <v>211836.04000000004</v>
      </c>
      <c r="HF51" s="10">
        <f>IF(HE51=0,0,ROUND(HD51/HE51/12,0))</f>
        <v>48336</v>
      </c>
      <c r="HG51" s="11" t="s">
        <v>63</v>
      </c>
      <c r="HH51" s="20">
        <f>SUM(HH6:HH49)</f>
        <v>133484856902.48001</v>
      </c>
      <c r="HI51" s="10">
        <f t="shared" ref="HI51:HK51" si="16">SUM(HI6:HI49)</f>
        <v>10826779550.300001</v>
      </c>
      <c r="HJ51" s="10">
        <f t="shared" si="16"/>
        <v>122658077352.17999</v>
      </c>
      <c r="HK51" s="10">
        <f t="shared" si="16"/>
        <v>195626.28999999998</v>
      </c>
      <c r="HL51" s="10">
        <f>IF(HK51=0,0,ROUND(HJ51/HK51/12,0))</f>
        <v>52250</v>
      </c>
      <c r="HM51" s="74" t="s">
        <v>63</v>
      </c>
      <c r="HN51" s="40"/>
      <c r="HO51" s="25"/>
    </row>
    <row r="52" spans="1:223" ht="21" customHeight="1" thickBot="1">
      <c r="A52" s="346"/>
      <c r="B52" s="347"/>
      <c r="C52" s="36"/>
      <c r="D52" s="44"/>
      <c r="E52" s="21"/>
      <c r="F52" s="22"/>
      <c r="G52" s="22"/>
      <c r="H52" s="22"/>
      <c r="I52" s="22"/>
      <c r="J52" s="23"/>
      <c r="K52" s="23"/>
      <c r="L52" s="21"/>
      <c r="M52" s="22"/>
      <c r="N52" s="22"/>
      <c r="O52" s="22"/>
      <c r="P52" s="22"/>
      <c r="Q52" s="23"/>
      <c r="R52" s="21"/>
      <c r="S52" s="22"/>
      <c r="T52" s="22"/>
      <c r="U52" s="22"/>
      <c r="V52" s="22"/>
      <c r="W52" s="23"/>
      <c r="X52" s="21"/>
      <c r="Y52" s="23"/>
      <c r="AA52" s="21"/>
      <c r="AB52" s="22"/>
      <c r="AC52" s="22"/>
      <c r="AD52" s="22"/>
      <c r="AE52" s="22"/>
      <c r="AF52" s="23"/>
      <c r="AG52" s="23"/>
      <c r="AH52" s="21"/>
      <c r="AI52" s="22"/>
      <c r="AJ52" s="22"/>
      <c r="AK52" s="22"/>
      <c r="AL52" s="22"/>
      <c r="AM52" s="23"/>
      <c r="AN52" s="21"/>
      <c r="AO52" s="22"/>
      <c r="AP52" s="22"/>
      <c r="AQ52" s="22"/>
      <c r="AR52" s="22"/>
      <c r="AS52" s="23"/>
      <c r="AT52" s="21"/>
      <c r="AU52" s="23"/>
      <c r="AW52" s="21"/>
      <c r="AX52" s="22"/>
      <c r="AY52" s="22"/>
      <c r="AZ52" s="22"/>
      <c r="BA52" s="22"/>
      <c r="BB52" s="23"/>
      <c r="BC52" s="23"/>
      <c r="BD52" s="21"/>
      <c r="BE52" s="22"/>
      <c r="BF52" s="22"/>
      <c r="BG52" s="22"/>
      <c r="BH52" s="22"/>
      <c r="BI52" s="23"/>
      <c r="BJ52" s="21"/>
      <c r="BK52" s="22"/>
      <c r="BL52" s="22"/>
      <c r="BM52" s="22"/>
      <c r="BN52" s="22"/>
      <c r="BO52" s="23"/>
      <c r="BP52" s="21"/>
      <c r="BQ52" s="23"/>
      <c r="BS52" s="21"/>
      <c r="BT52" s="22"/>
      <c r="BU52" s="22"/>
      <c r="BV52" s="22"/>
      <c r="BW52" s="22"/>
      <c r="BX52" s="23"/>
      <c r="BY52" s="23"/>
      <c r="BZ52" s="21"/>
      <c r="CA52" s="22"/>
      <c r="CB52" s="22"/>
      <c r="CC52" s="22"/>
      <c r="CD52" s="22"/>
      <c r="CE52" s="23"/>
      <c r="CF52" s="21"/>
      <c r="CG52" s="22"/>
      <c r="CH52" s="22"/>
      <c r="CI52" s="22"/>
      <c r="CJ52" s="22"/>
      <c r="CK52" s="23"/>
      <c r="CL52" s="21"/>
      <c r="CM52" s="23"/>
      <c r="CO52" s="21"/>
      <c r="CP52" s="22"/>
      <c r="CQ52" s="22"/>
      <c r="CR52" s="22"/>
      <c r="CS52" s="22"/>
      <c r="CT52" s="23"/>
      <c r="CU52" s="23"/>
      <c r="CV52" s="21"/>
      <c r="CW52" s="22"/>
      <c r="CX52" s="22"/>
      <c r="CY52" s="22"/>
      <c r="CZ52" s="22"/>
      <c r="DA52" s="23"/>
      <c r="DB52" s="21"/>
      <c r="DC52" s="22"/>
      <c r="DD52" s="22"/>
      <c r="DE52" s="22"/>
      <c r="DF52" s="22"/>
      <c r="DG52" s="23"/>
      <c r="DH52" s="21"/>
      <c r="DI52" s="23"/>
      <c r="DK52" s="21"/>
      <c r="DL52" s="22"/>
      <c r="DM52" s="22"/>
      <c r="DN52" s="22"/>
      <c r="DO52" s="22"/>
      <c r="DP52" s="23"/>
      <c r="DQ52" s="23"/>
      <c r="DR52" s="21"/>
      <c r="DS52" s="22"/>
      <c r="DT52" s="22"/>
      <c r="DU52" s="22"/>
      <c r="DV52" s="22"/>
      <c r="DW52" s="23"/>
      <c r="DX52" s="21"/>
      <c r="DY52" s="22"/>
      <c r="DZ52" s="22"/>
      <c r="EA52" s="22"/>
      <c r="EB52" s="22"/>
      <c r="EC52" s="23"/>
      <c r="ED52" s="21"/>
      <c r="EE52" s="23"/>
      <c r="EG52" s="21"/>
      <c r="EH52" s="22"/>
      <c r="EI52" s="22"/>
      <c r="EJ52" s="22"/>
      <c r="EK52" s="22"/>
      <c r="EL52" s="23"/>
      <c r="EM52" s="23"/>
      <c r="EN52" s="21"/>
      <c r="EO52" s="22"/>
      <c r="EP52" s="22"/>
      <c r="EQ52" s="22"/>
      <c r="ER52" s="22"/>
      <c r="ES52" s="23"/>
      <c r="ET52" s="21"/>
      <c r="EU52" s="22"/>
      <c r="EV52" s="22"/>
      <c r="EW52" s="22"/>
      <c r="EX52" s="22"/>
      <c r="EY52" s="23"/>
      <c r="EZ52" s="21"/>
      <c r="FA52" s="23"/>
      <c r="FC52" s="21"/>
      <c r="FD52" s="22"/>
      <c r="FE52" s="22"/>
      <c r="FF52" s="22"/>
      <c r="FG52" s="22"/>
      <c r="FH52" s="23"/>
      <c r="FI52" s="23"/>
      <c r="FJ52" s="21"/>
      <c r="FK52" s="22"/>
      <c r="FL52" s="22"/>
      <c r="FM52" s="22"/>
      <c r="FN52" s="22"/>
      <c r="FO52" s="23"/>
      <c r="FP52" s="21"/>
      <c r="FQ52" s="22"/>
      <c r="FR52" s="22"/>
      <c r="FS52" s="22"/>
      <c r="FT52" s="22"/>
      <c r="FU52" s="23"/>
      <c r="FV52" s="21"/>
      <c r="FW52" s="23"/>
      <c r="FY52" s="21"/>
      <c r="FZ52" s="22"/>
      <c r="GA52" s="22"/>
      <c r="GB52" s="22"/>
      <c r="GC52" s="22"/>
      <c r="GD52" s="23"/>
      <c r="GE52" s="23"/>
      <c r="GF52" s="21"/>
      <c r="GG52" s="22"/>
      <c r="GH52" s="22"/>
      <c r="GI52" s="22"/>
      <c r="GJ52" s="22"/>
      <c r="GK52" s="23"/>
      <c r="GL52" s="21"/>
      <c r="GM52" s="22"/>
      <c r="GN52" s="22"/>
      <c r="GO52" s="22"/>
      <c r="GP52" s="22"/>
      <c r="GQ52" s="189"/>
      <c r="GR52" s="21"/>
      <c r="GS52" s="23"/>
      <c r="GU52" s="21"/>
      <c r="GV52" s="22"/>
      <c r="GW52" s="22"/>
      <c r="GX52" s="22"/>
      <c r="GY52" s="22"/>
      <c r="GZ52" s="23"/>
      <c r="HA52" s="23"/>
      <c r="HB52" s="21"/>
      <c r="HC52" s="22"/>
      <c r="HD52" s="22"/>
      <c r="HE52" s="22"/>
      <c r="HF52" s="22"/>
      <c r="HG52" s="23"/>
      <c r="HH52" s="21"/>
      <c r="HI52" s="22"/>
      <c r="HJ52" s="22"/>
      <c r="HK52" s="22"/>
      <c r="HL52" s="22"/>
      <c r="HM52" s="190"/>
      <c r="HN52" s="21"/>
      <c r="HO52" s="23"/>
    </row>
    <row r="54" spans="1:223">
      <c r="A54" s="9"/>
      <c r="B54" s="9"/>
      <c r="C54" s="16"/>
      <c r="D54" s="16"/>
      <c r="E54" s="17"/>
      <c r="F54" s="17"/>
      <c r="G54" s="17"/>
      <c r="H54" s="17"/>
      <c r="I54" s="17"/>
      <c r="J54" s="9"/>
      <c r="K54" s="9"/>
      <c r="L54" s="17"/>
      <c r="M54" s="17"/>
      <c r="N54" s="17"/>
      <c r="O54" s="17"/>
      <c r="P54" s="17"/>
      <c r="Q54" s="18"/>
      <c r="R54" s="17"/>
      <c r="S54" s="17"/>
      <c r="T54" s="17"/>
      <c r="U54" s="17"/>
      <c r="V54" s="17"/>
      <c r="W54" s="18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18"/>
      <c r="AN54" s="17"/>
      <c r="AO54" s="17"/>
      <c r="AP54" s="17"/>
      <c r="AQ54" s="17"/>
      <c r="AR54" s="17"/>
      <c r="AS54" s="18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18"/>
      <c r="BJ54" s="9"/>
      <c r="BK54" s="9"/>
      <c r="BL54" s="9"/>
      <c r="BM54" s="9"/>
      <c r="BN54" s="9"/>
      <c r="BO54" s="18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18"/>
      <c r="CF54" s="9"/>
      <c r="CG54" s="9"/>
      <c r="CH54" s="9"/>
      <c r="CI54" s="9"/>
      <c r="CJ54" s="9"/>
      <c r="CK54" s="18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  <c r="CX54" s="9"/>
      <c r="CY54" s="9"/>
      <c r="CZ54" s="9"/>
      <c r="DA54" s="9"/>
      <c r="DB54" s="9"/>
      <c r="DC54" s="9"/>
      <c r="DD54" s="9"/>
      <c r="DE54" s="9"/>
      <c r="DF54" s="9"/>
      <c r="DG54" s="9"/>
      <c r="DH54" s="9"/>
      <c r="DI54" s="9"/>
      <c r="DJ54" s="9"/>
      <c r="DK54" s="118" t="s">
        <v>198</v>
      </c>
      <c r="DL54" s="118"/>
      <c r="DM54" s="118"/>
      <c r="DN54" s="118"/>
      <c r="DO54" s="118"/>
      <c r="DP54" s="160"/>
      <c r="DQ54" s="160"/>
      <c r="DR54" s="160"/>
      <c r="DS54" s="9"/>
      <c r="DT54" s="9"/>
      <c r="DU54" s="9"/>
      <c r="DV54" s="9"/>
      <c r="DW54" s="9"/>
      <c r="DX54" s="9"/>
      <c r="DY54" s="9"/>
      <c r="DZ54" s="9"/>
      <c r="EA54" s="9"/>
      <c r="EB54" s="9"/>
      <c r="EC54" s="9"/>
      <c r="ED54" s="9"/>
      <c r="EE54" s="9"/>
      <c r="EF54" s="9"/>
      <c r="EG54" s="9"/>
      <c r="EH54" s="9"/>
      <c r="EI54" s="9"/>
      <c r="EJ54" s="9"/>
      <c r="EK54" s="9"/>
      <c r="EL54" s="9"/>
      <c r="EM54" s="9"/>
      <c r="EN54" s="9"/>
      <c r="EO54" s="9"/>
      <c r="EP54" s="9"/>
      <c r="EQ54" s="9"/>
      <c r="ER54" s="9"/>
      <c r="ES54" s="9"/>
      <c r="ET54" s="9"/>
      <c r="EU54" s="9"/>
      <c r="EV54" s="9"/>
      <c r="EW54" s="9"/>
      <c r="EX54" s="9"/>
      <c r="EY54" s="9"/>
      <c r="EZ54" s="9"/>
      <c r="FA54" s="9"/>
      <c r="FB54" s="9"/>
      <c r="FC54" s="9"/>
      <c r="FD54" s="9"/>
      <c r="FE54" s="9"/>
      <c r="FF54" s="9"/>
      <c r="FG54" s="9"/>
      <c r="FH54" s="9"/>
      <c r="FI54" s="9"/>
      <c r="FJ54" s="9"/>
      <c r="FK54" s="9"/>
      <c r="FL54" s="9"/>
      <c r="FM54" s="9"/>
      <c r="FN54" s="9"/>
      <c r="FO54" s="9"/>
      <c r="FP54" s="60"/>
      <c r="FQ54" s="60"/>
      <c r="FR54" s="60"/>
      <c r="FS54" s="60"/>
      <c r="FT54" s="60"/>
      <c r="FU54" s="9"/>
      <c r="FV54" s="9"/>
      <c r="FW54" s="9"/>
      <c r="FX54" s="9"/>
      <c r="FY54" s="9" t="b">
        <f>FY51=SUMAR!E12</f>
        <v>1</v>
      </c>
      <c r="FZ54" s="9" t="b">
        <f>FZ51=SUMAR!F12</f>
        <v>1</v>
      </c>
      <c r="GA54" s="9" t="b">
        <f>GA51=SUMAR!G12</f>
        <v>1</v>
      </c>
      <c r="GB54" s="9" t="b">
        <f>GB51=SUMAR!H12</f>
        <v>1</v>
      </c>
      <c r="GC54" s="9" t="b">
        <f>ROUND(GC51,0)=ROUND(SUMAR!I12,0)</f>
        <v>1</v>
      </c>
      <c r="GD54" s="9"/>
      <c r="GE54" s="9"/>
      <c r="GF54" s="9" t="b">
        <f>GF51=SUMAR!L12</f>
        <v>1</v>
      </c>
      <c r="GG54" s="9" t="b">
        <f>GG51=SUMAR!M12</f>
        <v>1</v>
      </c>
      <c r="GH54" s="9" t="b">
        <f>GH51=SUMAR!N12</f>
        <v>1</v>
      </c>
      <c r="GI54" s="9" t="b">
        <f>GI51=SUMAR!O12</f>
        <v>1</v>
      </c>
      <c r="GJ54" s="9" t="b">
        <f>ROUND(GJ51,0)=ROUND(SUMAR!P12,0)</f>
        <v>1</v>
      </c>
      <c r="GK54" s="9"/>
      <c r="GL54" s="9" t="b">
        <f>GL51=SUMAR!R12</f>
        <v>1</v>
      </c>
      <c r="GM54" s="9" t="b">
        <f>GM51=SUMAR!S12</f>
        <v>1</v>
      </c>
      <c r="GN54" s="9" t="b">
        <f>GN51=SUMAR!T12</f>
        <v>1</v>
      </c>
      <c r="GO54" s="9" t="b">
        <f>GO51=SUMAR!U12</f>
        <v>1</v>
      </c>
      <c r="GP54" s="9" t="b">
        <f>ROUND(GP51,0)=ROUND(SUMAR!V12,0)</f>
        <v>1</v>
      </c>
      <c r="GQ54" s="9"/>
      <c r="GR54" s="9"/>
      <c r="GS54" s="9"/>
      <c r="GU54" s="9" t="b">
        <f>GU51=SUMAR!AA12</f>
        <v>1</v>
      </c>
      <c r="GV54" s="9" t="b">
        <f>GV51=SUMAR!AB12</f>
        <v>1</v>
      </c>
      <c r="GW54" s="9" t="b">
        <f>GW51=SUMAR!AC12</f>
        <v>1</v>
      </c>
      <c r="GX54" s="9" t="b">
        <f>GX51=SUMAR!AD12</f>
        <v>1</v>
      </c>
      <c r="GY54" s="9" t="b">
        <f>ROUND(GY51,0)=ROUND(SUMAR!AE12,0)</f>
        <v>1</v>
      </c>
      <c r="GZ54" s="9"/>
      <c r="HA54" s="9"/>
      <c r="HB54" s="9" t="b">
        <f>HB51=SUMAR!AH12</f>
        <v>1</v>
      </c>
      <c r="HC54" s="9" t="b">
        <f>HC51=SUMAR!AI12</f>
        <v>1</v>
      </c>
      <c r="HD54" s="9" t="b">
        <f>HD51=SUMAR!AJ12</f>
        <v>1</v>
      </c>
      <c r="HE54" s="9" t="b">
        <f>HE51=SUMAR!AK12</f>
        <v>1</v>
      </c>
      <c r="HF54" s="9" t="b">
        <f>ROUND(HF51,0)=ROUND(SUMAR!AL12,0)</f>
        <v>1</v>
      </c>
      <c r="HG54" s="9"/>
      <c r="HH54" s="9" t="b">
        <f>HH51=SUMAR!AN12</f>
        <v>1</v>
      </c>
      <c r="HI54" s="9" t="b">
        <f>HI51=SUMAR!AO12</f>
        <v>1</v>
      </c>
      <c r="HJ54" s="9" t="b">
        <f>HJ51=SUMAR!AP12</f>
        <v>1</v>
      </c>
      <c r="HK54" s="9" t="b">
        <f>HK51=SUMAR!AQ12</f>
        <v>1</v>
      </c>
      <c r="HL54" s="9" t="b">
        <f>ROUND(HL51,0)=ROUND(SUMAR!AR12,0)</f>
        <v>1</v>
      </c>
      <c r="HM54" s="9"/>
      <c r="HN54" s="9"/>
      <c r="HO54" s="9"/>
    </row>
    <row r="55" spans="1:223" ht="14"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59"/>
      <c r="R55" s="7"/>
      <c r="S55" s="7"/>
      <c r="T55" s="7"/>
      <c r="U55" s="7"/>
      <c r="V55" s="7"/>
      <c r="W55" s="59"/>
      <c r="X55" s="7"/>
      <c r="Y55" s="7"/>
      <c r="BJ55" s="19"/>
      <c r="BK55" s="19"/>
      <c r="BL55" s="19"/>
      <c r="BM55" s="19"/>
      <c r="BN55" s="19"/>
      <c r="CO55" s="7"/>
      <c r="CP55" s="7"/>
      <c r="CQ55" s="7"/>
      <c r="CR55" s="7"/>
      <c r="CS55" s="7"/>
      <c r="CV55" s="7"/>
      <c r="CW55" s="7"/>
      <c r="CX55" s="7"/>
      <c r="CY55" s="7"/>
      <c r="CZ55" s="7"/>
      <c r="DA55" s="7"/>
      <c r="DB55" s="7"/>
      <c r="DC55" s="7"/>
      <c r="DD55" s="7"/>
      <c r="DE55" s="7"/>
      <c r="DF55" s="7"/>
      <c r="DK55" s="118" t="s">
        <v>197</v>
      </c>
      <c r="DL55" s="118"/>
      <c r="DM55" s="118"/>
      <c r="DN55" s="118"/>
      <c r="DO55" s="118"/>
      <c r="DP55" s="160"/>
      <c r="DQ55" s="160"/>
      <c r="DR55" s="118"/>
      <c r="DS55" s="7"/>
      <c r="DT55" s="7"/>
      <c r="DU55" s="7"/>
      <c r="DV55" s="7"/>
      <c r="DW55" s="7"/>
      <c r="DX55" s="7"/>
      <c r="DY55" s="7"/>
      <c r="DZ55" s="7"/>
      <c r="EA55" s="7"/>
      <c r="EB55" s="7"/>
      <c r="EG55" s="7"/>
      <c r="EH55" s="7"/>
      <c r="EI55" s="7"/>
      <c r="EJ55" s="7"/>
      <c r="EK55" s="7"/>
      <c r="ER55" s="58"/>
      <c r="ET55" s="7"/>
      <c r="EU55" s="7"/>
      <c r="EV55" s="7"/>
      <c r="EW55" s="7"/>
      <c r="EX55" s="7"/>
      <c r="FC55" s="7"/>
      <c r="FD55" s="7"/>
      <c r="FE55" s="7"/>
      <c r="FF55" s="7"/>
      <c r="FG55" s="7"/>
      <c r="FN55" s="7"/>
      <c r="FP55" s="61"/>
      <c r="FQ55" s="61"/>
      <c r="FR55" s="61"/>
      <c r="FS55" s="61"/>
      <c r="FT55" s="61"/>
      <c r="FY55" s="7"/>
      <c r="FZ55" s="7"/>
      <c r="GA55" s="7"/>
      <c r="GB55" s="7"/>
      <c r="GC55" s="7"/>
    </row>
    <row r="56" spans="1:223">
      <c r="E56" s="17"/>
      <c r="F56" s="17"/>
      <c r="G56" s="17"/>
      <c r="H56" s="17"/>
      <c r="I56" s="17"/>
      <c r="J56" s="9"/>
      <c r="K56" s="9"/>
      <c r="L56" s="17"/>
      <c r="M56" s="17"/>
      <c r="N56" s="17"/>
      <c r="O56" s="17"/>
      <c r="P56" s="17"/>
      <c r="Q56" s="18"/>
      <c r="R56" s="17"/>
      <c r="S56" s="17"/>
      <c r="T56" s="17"/>
      <c r="U56" s="17"/>
      <c r="V56" s="17"/>
      <c r="W56" s="18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18"/>
      <c r="AN56" s="17"/>
      <c r="AO56" s="17"/>
      <c r="AP56" s="17"/>
      <c r="AQ56" s="17"/>
      <c r="AR56" s="17"/>
      <c r="AS56" s="18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18"/>
      <c r="BJ56" s="9"/>
      <c r="BK56" s="9"/>
      <c r="BL56" s="9"/>
      <c r="BM56" s="9"/>
      <c r="BN56" s="9"/>
      <c r="BO56" s="18"/>
      <c r="BP56" s="9"/>
      <c r="BQ56" s="9"/>
      <c r="BR56" s="9"/>
      <c r="BS56" s="9"/>
      <c r="BT56" s="9"/>
      <c r="BU56" s="9"/>
      <c r="BV56" s="9"/>
      <c r="BW56" s="9"/>
      <c r="BX56" s="9"/>
      <c r="BY56" s="9"/>
      <c r="BZ56" s="9"/>
      <c r="CA56" s="9"/>
      <c r="CB56" s="9"/>
      <c r="CC56" s="9"/>
      <c r="CD56" s="9"/>
      <c r="CE56" s="18"/>
      <c r="CF56" s="9"/>
      <c r="CG56" s="9"/>
      <c r="CH56" s="9"/>
      <c r="CI56" s="9"/>
      <c r="CJ56" s="9"/>
      <c r="CK56" s="18"/>
      <c r="CL56" s="9"/>
      <c r="CM56" s="9"/>
      <c r="CN56" s="9"/>
      <c r="CO56" s="9"/>
      <c r="CP56" s="9"/>
      <c r="CQ56" s="9"/>
      <c r="CR56" s="9"/>
      <c r="CS56" s="9"/>
      <c r="CT56" s="9"/>
      <c r="CU56" s="9"/>
      <c r="CV56" s="9"/>
      <c r="CW56" s="9"/>
      <c r="CX56" s="9"/>
      <c r="CY56" s="9"/>
      <c r="CZ56" s="9"/>
      <c r="DA56" s="9"/>
      <c r="DB56" s="9"/>
      <c r="DC56" s="9"/>
      <c r="DD56" s="9"/>
      <c r="DE56" s="9"/>
      <c r="DF56" s="9"/>
      <c r="DG56" s="9"/>
      <c r="DH56" s="9"/>
      <c r="DI56" s="9"/>
      <c r="DJ56" s="9"/>
      <c r="DK56" s="7"/>
      <c r="DL56" s="7"/>
      <c r="DM56" s="7"/>
      <c r="DN56" s="7"/>
      <c r="DO56" s="7"/>
      <c r="DR56" s="7"/>
      <c r="DS56" s="9"/>
      <c r="DT56" s="9"/>
      <c r="DU56" s="9"/>
      <c r="DV56" s="9"/>
      <c r="DW56" s="9"/>
      <c r="DX56" s="9"/>
      <c r="DY56" s="9"/>
      <c r="DZ56" s="9"/>
      <c r="EA56" s="9"/>
      <c r="EB56" s="9"/>
      <c r="EC56" s="9"/>
      <c r="ED56" s="9"/>
      <c r="EE56" s="9"/>
      <c r="EF56" s="9"/>
      <c r="EG56" s="9"/>
      <c r="EH56" s="9"/>
      <c r="EI56" s="9"/>
      <c r="EJ56" s="9"/>
      <c r="EK56" s="9"/>
      <c r="EL56" s="9"/>
      <c r="EM56" s="9"/>
      <c r="EN56" s="9"/>
      <c r="EO56" s="9"/>
      <c r="EP56" s="9"/>
      <c r="EQ56" s="9"/>
      <c r="ER56" s="9"/>
      <c r="ES56" s="9"/>
      <c r="ET56" s="9"/>
      <c r="EU56" s="9"/>
      <c r="EV56" s="9"/>
      <c r="EW56" s="9"/>
      <c r="EX56" s="9"/>
      <c r="EY56" s="9"/>
      <c r="EZ56" s="9"/>
      <c r="FA56" s="9"/>
      <c r="FB56" s="9"/>
      <c r="FC56" s="9"/>
      <c r="FD56" s="9"/>
      <c r="FE56" s="9"/>
      <c r="FF56" s="9"/>
      <c r="FG56" s="9"/>
      <c r="FH56" s="9"/>
      <c r="FI56" s="9"/>
      <c r="FJ56" s="9"/>
      <c r="FK56" s="9"/>
      <c r="FL56" s="9"/>
      <c r="FM56" s="9"/>
      <c r="FN56" s="9"/>
      <c r="FO56" s="9"/>
      <c r="FP56" s="60"/>
      <c r="FQ56" s="60"/>
      <c r="FR56" s="60"/>
      <c r="FS56" s="60"/>
      <c r="FT56" s="60"/>
      <c r="FU56" s="9"/>
      <c r="FV56" s="9"/>
      <c r="FW56" s="9"/>
      <c r="FX56" s="9"/>
      <c r="FY56" s="9"/>
      <c r="FZ56" s="9"/>
      <c r="GA56" s="9"/>
      <c r="GB56" s="9"/>
      <c r="GC56" s="9"/>
      <c r="GD56" s="9"/>
      <c r="GE56" s="9"/>
      <c r="GF56" s="60"/>
      <c r="GG56" s="60"/>
      <c r="GH56" s="60"/>
      <c r="GI56" s="60"/>
      <c r="GJ56" s="60"/>
      <c r="GK56" s="9"/>
      <c r="GL56" s="9"/>
      <c r="GM56" s="9"/>
      <c r="GN56" s="9"/>
      <c r="GO56" s="9"/>
      <c r="GP56" s="9"/>
      <c r="GQ56" s="9"/>
      <c r="GR56" s="9"/>
      <c r="GS56" s="9"/>
      <c r="HA56" s="9"/>
      <c r="HN56" s="9"/>
      <c r="HO56" s="9"/>
    </row>
    <row r="57" spans="1:223" ht="14">
      <c r="BJ57" s="19"/>
      <c r="BK57" s="19"/>
      <c r="BL57" s="19"/>
      <c r="BM57" s="19"/>
      <c r="BN57" s="19"/>
      <c r="CO57" s="7"/>
      <c r="CP57" s="7"/>
      <c r="CQ57" s="7"/>
      <c r="CR57" s="7"/>
      <c r="CS57" s="7"/>
      <c r="CV57" s="7"/>
      <c r="CW57" s="7"/>
      <c r="CX57" s="7"/>
      <c r="CY57" s="7"/>
      <c r="CZ57" s="7"/>
      <c r="DA57" s="7"/>
      <c r="DB57" s="7"/>
      <c r="DC57" s="7"/>
      <c r="DD57" s="7"/>
      <c r="DE57" s="7"/>
      <c r="DF57" s="7"/>
      <c r="DS57" s="9"/>
      <c r="DT57" s="9"/>
      <c r="DU57" s="7"/>
      <c r="DV57" s="7"/>
      <c r="DW57" s="7"/>
      <c r="DX57" s="7"/>
      <c r="DY57" s="7"/>
      <c r="DZ57" s="7"/>
      <c r="EA57" s="7"/>
      <c r="EB57" s="7"/>
      <c r="EG57" s="7"/>
      <c r="EH57" s="7"/>
      <c r="EI57" s="7"/>
      <c r="EJ57" s="7"/>
      <c r="EK57" s="7"/>
      <c r="ER57" s="58"/>
      <c r="ET57" s="7"/>
      <c r="EU57" s="7"/>
      <c r="EV57" s="7"/>
      <c r="EW57" s="7"/>
      <c r="EX57" s="7"/>
      <c r="FC57" s="7"/>
      <c r="FD57" s="7"/>
      <c r="FE57" s="7"/>
      <c r="FF57" s="7"/>
      <c r="FG57" s="7"/>
      <c r="FN57" s="7"/>
      <c r="FP57" s="61"/>
      <c r="FQ57" s="61"/>
      <c r="FR57" s="61"/>
      <c r="FS57" s="61"/>
      <c r="FT57" s="61"/>
      <c r="FY57" s="7"/>
      <c r="FZ57" s="7"/>
      <c r="GA57" s="7"/>
      <c r="GB57" s="7"/>
      <c r="GC57" s="7"/>
    </row>
    <row r="58" spans="1:223">
      <c r="E58" s="17"/>
      <c r="F58" s="17"/>
      <c r="G58" s="17"/>
      <c r="H58" s="17"/>
      <c r="I58" s="17"/>
      <c r="J58" s="9"/>
      <c r="K58" s="9"/>
      <c r="L58" s="17"/>
      <c r="M58" s="17"/>
      <c r="N58" s="17"/>
      <c r="O58" s="17"/>
      <c r="P58" s="17"/>
      <c r="Q58" s="18"/>
      <c r="R58" s="17"/>
      <c r="S58" s="17"/>
      <c r="T58" s="17"/>
      <c r="U58" s="17"/>
      <c r="V58" s="17"/>
      <c r="W58" s="18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18"/>
      <c r="AN58" s="9"/>
      <c r="AO58" s="9"/>
      <c r="AP58" s="9"/>
      <c r="AQ58" s="9"/>
      <c r="AR58" s="9"/>
      <c r="AS58" s="18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18"/>
      <c r="BJ58" s="9"/>
      <c r="BK58" s="9"/>
      <c r="BL58" s="9"/>
      <c r="BM58" s="9"/>
      <c r="BN58" s="9"/>
      <c r="BO58" s="18"/>
      <c r="BP58" s="9"/>
      <c r="BQ58" s="9"/>
      <c r="BR58" s="9"/>
      <c r="BS58" s="9"/>
      <c r="BT58" s="9"/>
      <c r="BU58" s="9"/>
      <c r="BV58" s="9"/>
      <c r="BW58" s="9"/>
      <c r="BX58" s="9"/>
      <c r="BY58" s="9"/>
      <c r="BZ58" s="9"/>
      <c r="CA58" s="9"/>
      <c r="CB58" s="9"/>
      <c r="CC58" s="9"/>
      <c r="CD58" s="9"/>
      <c r="CE58" s="18"/>
      <c r="CF58" s="9"/>
      <c r="CG58" s="9"/>
      <c r="CH58" s="9"/>
      <c r="CI58" s="9"/>
      <c r="CJ58" s="9"/>
      <c r="CK58" s="18"/>
      <c r="CL58" s="9"/>
      <c r="CM58" s="9"/>
      <c r="CN58" s="9"/>
      <c r="CO58" s="9"/>
      <c r="CP58" s="9"/>
      <c r="CQ58" s="9"/>
      <c r="CR58" s="9"/>
      <c r="CS58" s="9"/>
      <c r="CT58" s="9"/>
      <c r="CU58" s="9"/>
      <c r="CV58" s="9"/>
      <c r="CW58" s="9"/>
      <c r="CX58" s="9"/>
      <c r="CY58" s="9"/>
      <c r="CZ58" s="9"/>
      <c r="DA58" s="9"/>
      <c r="DB58" s="9"/>
      <c r="DC58" s="9"/>
      <c r="DD58" s="9"/>
      <c r="DE58" s="9"/>
      <c r="DF58" s="9"/>
      <c r="DG58" s="9"/>
      <c r="DH58" s="9"/>
      <c r="DI58" s="9"/>
      <c r="DJ58" s="9"/>
      <c r="DS58" s="7"/>
      <c r="DT58" s="7"/>
      <c r="DU58" s="9"/>
      <c r="DV58" s="9"/>
      <c r="DW58" s="9"/>
      <c r="DX58" s="9"/>
      <c r="DY58" s="9"/>
      <c r="DZ58" s="9"/>
      <c r="EA58" s="9"/>
      <c r="EB58" s="9"/>
      <c r="EC58" s="9"/>
      <c r="ED58" s="9"/>
      <c r="EE58" s="9"/>
      <c r="EF58" s="9"/>
      <c r="EG58" s="9"/>
      <c r="EH58" s="9"/>
      <c r="EI58" s="9"/>
      <c r="EJ58" s="9"/>
      <c r="EK58" s="9"/>
      <c r="EL58" s="9"/>
      <c r="EM58" s="9"/>
      <c r="EN58" s="9"/>
      <c r="EO58" s="9"/>
      <c r="EP58" s="9"/>
      <c r="EQ58" s="9"/>
      <c r="ER58" s="9"/>
      <c r="ES58" s="9"/>
      <c r="ET58" s="9"/>
      <c r="EU58" s="9"/>
      <c r="EV58" s="9"/>
      <c r="EW58" s="9"/>
      <c r="EX58" s="9"/>
      <c r="EY58" s="9"/>
      <c r="EZ58" s="9"/>
      <c r="FA58" s="9"/>
      <c r="FB58" s="9"/>
      <c r="FC58" s="9"/>
      <c r="FD58" s="9"/>
      <c r="FE58" s="9"/>
      <c r="FF58" s="9"/>
      <c r="FG58" s="9"/>
      <c r="FH58" s="9"/>
      <c r="FI58" s="9"/>
      <c r="FJ58" s="9"/>
      <c r="FK58" s="9"/>
      <c r="FL58" s="9"/>
      <c r="FM58" s="9"/>
      <c r="FN58" s="9"/>
      <c r="FO58" s="9"/>
      <c r="FP58" s="60"/>
      <c r="FQ58" s="60"/>
      <c r="FR58" s="60"/>
      <c r="FS58" s="60"/>
      <c r="FT58" s="60"/>
      <c r="FU58" s="9"/>
      <c r="FV58" s="9"/>
      <c r="FW58" s="9"/>
      <c r="FX58" s="9"/>
      <c r="FY58" s="9"/>
      <c r="FZ58" s="9"/>
      <c r="GA58" s="9"/>
      <c r="GB58" s="9"/>
      <c r="GC58" s="9"/>
      <c r="GD58" s="9"/>
      <c r="GE58" s="9"/>
      <c r="GF58" s="60"/>
      <c r="GG58" s="60"/>
      <c r="GH58" s="60"/>
      <c r="GI58" s="60"/>
      <c r="GJ58" s="60"/>
      <c r="GK58" s="9"/>
      <c r="GL58" s="9"/>
      <c r="GM58" s="9"/>
      <c r="GN58" s="9"/>
      <c r="GO58" s="9"/>
      <c r="GP58" s="9"/>
      <c r="GQ58" s="9"/>
      <c r="GR58" s="9"/>
      <c r="GS58" s="9"/>
      <c r="HA58" s="9"/>
      <c r="HN58" s="9"/>
      <c r="HO58" s="9"/>
    </row>
    <row r="59" spans="1:223" ht="14">
      <c r="H59" s="17"/>
      <c r="I59" s="17"/>
      <c r="BJ59" s="19"/>
      <c r="BK59" s="19"/>
      <c r="BL59" s="19"/>
      <c r="BM59" s="19"/>
      <c r="BN59" s="19"/>
      <c r="CO59" s="7"/>
      <c r="CP59" s="7"/>
      <c r="CQ59" s="7"/>
      <c r="CR59" s="7"/>
      <c r="CS59" s="7"/>
      <c r="CV59" s="7"/>
      <c r="CW59" s="7"/>
      <c r="CX59" s="7"/>
      <c r="CY59" s="7"/>
      <c r="CZ59" s="7"/>
      <c r="DA59" s="7"/>
      <c r="DB59" s="7"/>
      <c r="DC59" s="7"/>
      <c r="DD59" s="7"/>
      <c r="DE59" s="7"/>
      <c r="DF59" s="7"/>
      <c r="DS59" s="7"/>
      <c r="DT59" s="7"/>
      <c r="DU59" s="7"/>
      <c r="DV59" s="7"/>
      <c r="DW59" s="7"/>
      <c r="DX59" s="7"/>
      <c r="DY59" s="7"/>
      <c r="DZ59" s="7"/>
      <c r="EA59" s="7"/>
      <c r="EB59" s="7"/>
      <c r="EG59" s="7"/>
      <c r="EH59" s="7"/>
      <c r="EI59" s="7"/>
      <c r="EJ59" s="7"/>
      <c r="EK59" s="7"/>
      <c r="ER59" s="58"/>
      <c r="ET59" s="7"/>
      <c r="EU59" s="7"/>
      <c r="EV59" s="7"/>
      <c r="EW59" s="7"/>
      <c r="EX59" s="7"/>
      <c r="FC59" s="7"/>
      <c r="FD59" s="7"/>
      <c r="FE59" s="7"/>
      <c r="FF59" s="7"/>
      <c r="FG59" s="7"/>
      <c r="FN59" s="7"/>
      <c r="FP59" s="61"/>
      <c r="FQ59" s="61"/>
      <c r="FR59" s="61"/>
      <c r="FS59" s="61"/>
      <c r="FT59" s="61"/>
      <c r="FY59" s="7"/>
      <c r="FZ59" s="7"/>
      <c r="GA59" s="7"/>
      <c r="GB59" s="7"/>
      <c r="GC59" s="7"/>
    </row>
    <row r="60" spans="1:223">
      <c r="H60" s="17"/>
      <c r="I60" s="17"/>
      <c r="K60" s="71"/>
    </row>
    <row r="61" spans="1:223">
      <c r="Q61" s="6"/>
      <c r="W61" s="6"/>
      <c r="AM61" s="6"/>
      <c r="AS61" s="6"/>
      <c r="BI61" s="6"/>
      <c r="BO61" s="6"/>
      <c r="CE61" s="6"/>
      <c r="CK61" s="6"/>
    </row>
    <row r="62" spans="1:223">
      <c r="H62" s="17"/>
      <c r="I62" s="17"/>
    </row>
    <row r="63" spans="1:223">
      <c r="H63" s="17"/>
      <c r="I63" s="17"/>
    </row>
    <row r="64" spans="1:223">
      <c r="H64" s="17"/>
      <c r="I64" s="17"/>
    </row>
    <row r="65" spans="8:9">
      <c r="H65" s="17"/>
      <c r="I65" s="17"/>
    </row>
    <row r="66" spans="8:9">
      <c r="H66" s="17"/>
      <c r="I66" s="17"/>
    </row>
    <row r="67" spans="8:9">
      <c r="H67" s="17"/>
      <c r="I67" s="17"/>
    </row>
    <row r="68" spans="8:9">
      <c r="H68" s="17"/>
      <c r="I68" s="17"/>
    </row>
    <row r="69" spans="8:9">
      <c r="H69" s="17"/>
      <c r="I69" s="17"/>
    </row>
    <row r="70" spans="8:9">
      <c r="H70" s="17"/>
      <c r="I70" s="17"/>
    </row>
  </sheetData>
  <mergeCells count="293">
    <mergeCell ref="GE1:GE2"/>
    <mergeCell ref="GE3:GE5"/>
    <mergeCell ref="HA1:HA2"/>
    <mergeCell ref="HA3:HA5"/>
    <mergeCell ref="GR1:GS2"/>
    <mergeCell ref="GR3:GR5"/>
    <mergeCell ref="GS3:GS5"/>
    <mergeCell ref="HN1:HO2"/>
    <mergeCell ref="HN3:HN5"/>
    <mergeCell ref="HO3:HO5"/>
    <mergeCell ref="FQ3:FR3"/>
    <mergeCell ref="FS3:FS5"/>
    <mergeCell ref="FT3:FT5"/>
    <mergeCell ref="FU3:FU5"/>
    <mergeCell ref="FV3:FV5"/>
    <mergeCell ref="FQ4:FQ5"/>
    <mergeCell ref="FR4:FR5"/>
    <mergeCell ref="FW3:FW5"/>
    <mergeCell ref="A50:B52"/>
    <mergeCell ref="F4:F5"/>
    <mergeCell ref="G4:G5"/>
    <mergeCell ref="M4:M5"/>
    <mergeCell ref="N4:N5"/>
    <mergeCell ref="S4:S5"/>
    <mergeCell ref="R3:R5"/>
    <mergeCell ref="S3:T3"/>
    <mergeCell ref="K3:K5"/>
    <mergeCell ref="L3:L5"/>
    <mergeCell ref="A1:A5"/>
    <mergeCell ref="B1:B5"/>
    <mergeCell ref="E1:J2"/>
    <mergeCell ref="K1:K2"/>
    <mergeCell ref="L1:Q2"/>
    <mergeCell ref="R1:W2"/>
    <mergeCell ref="FI3:FI5"/>
    <mergeCell ref="FJ3:FJ5"/>
    <mergeCell ref="FK3:FL3"/>
    <mergeCell ref="FM3:FM5"/>
    <mergeCell ref="FN3:FN5"/>
    <mergeCell ref="FO3:FO5"/>
    <mergeCell ref="FK4:FK5"/>
    <mergeCell ref="FL4:FL5"/>
    <mergeCell ref="FP3:FP5"/>
    <mergeCell ref="EZ3:EZ5"/>
    <mergeCell ref="EU4:EU5"/>
    <mergeCell ref="EV4:EV5"/>
    <mergeCell ref="FA3:FA5"/>
    <mergeCell ref="FC3:FC5"/>
    <mergeCell ref="FD3:FE3"/>
    <mergeCell ref="FF3:FF5"/>
    <mergeCell ref="FG3:FG5"/>
    <mergeCell ref="FH3:FH5"/>
    <mergeCell ref="FD4:FD5"/>
    <mergeCell ref="FE4:FE5"/>
    <mergeCell ref="ER3:ER5"/>
    <mergeCell ref="ES3:ES5"/>
    <mergeCell ref="EO4:EO5"/>
    <mergeCell ref="EP4:EP5"/>
    <mergeCell ref="ET3:ET5"/>
    <mergeCell ref="EU3:EV3"/>
    <mergeCell ref="EW3:EW5"/>
    <mergeCell ref="EX3:EX5"/>
    <mergeCell ref="EY3:EY5"/>
    <mergeCell ref="EJ3:EJ5"/>
    <mergeCell ref="EK3:EK5"/>
    <mergeCell ref="EL3:EL5"/>
    <mergeCell ref="EH4:EH5"/>
    <mergeCell ref="EI4:EI5"/>
    <mergeCell ref="EM3:EM5"/>
    <mergeCell ref="EN3:EN5"/>
    <mergeCell ref="EO3:EP3"/>
    <mergeCell ref="EQ3:EQ5"/>
    <mergeCell ref="EA3:EA5"/>
    <mergeCell ref="EB3:EB5"/>
    <mergeCell ref="EC3:EC5"/>
    <mergeCell ref="ED3:ED5"/>
    <mergeCell ref="DY4:DY5"/>
    <mergeCell ref="DZ4:DZ5"/>
    <mergeCell ref="EE3:EE5"/>
    <mergeCell ref="EG3:EG5"/>
    <mergeCell ref="EH3:EI3"/>
    <mergeCell ref="DR3:DR5"/>
    <mergeCell ref="DS3:DT3"/>
    <mergeCell ref="DU3:DU5"/>
    <mergeCell ref="DV3:DV5"/>
    <mergeCell ref="DW3:DW5"/>
    <mergeCell ref="DS4:DS5"/>
    <mergeCell ref="DT4:DT5"/>
    <mergeCell ref="DX3:DX5"/>
    <mergeCell ref="DY3:DZ3"/>
    <mergeCell ref="DI3:DI5"/>
    <mergeCell ref="DK3:DK5"/>
    <mergeCell ref="DL3:DM3"/>
    <mergeCell ref="DN3:DN5"/>
    <mergeCell ref="DO3:DO5"/>
    <mergeCell ref="DP3:DP5"/>
    <mergeCell ref="DL4:DL5"/>
    <mergeCell ref="DM4:DM5"/>
    <mergeCell ref="DQ3:DQ5"/>
    <mergeCell ref="DA3:DA5"/>
    <mergeCell ref="CW4:CW5"/>
    <mergeCell ref="CX4:CX5"/>
    <mergeCell ref="DB3:DB5"/>
    <mergeCell ref="DC3:DD3"/>
    <mergeCell ref="DE3:DE5"/>
    <mergeCell ref="DF3:DF5"/>
    <mergeCell ref="DG3:DG5"/>
    <mergeCell ref="DH3:DH5"/>
    <mergeCell ref="DC4:DC5"/>
    <mergeCell ref="DD4:DD5"/>
    <mergeCell ref="CS3:CS5"/>
    <mergeCell ref="CT3:CT5"/>
    <mergeCell ref="CP4:CP5"/>
    <mergeCell ref="CQ4:CQ5"/>
    <mergeCell ref="CU3:CU5"/>
    <mergeCell ref="CV3:CV5"/>
    <mergeCell ref="CW3:CX3"/>
    <mergeCell ref="CY3:CY5"/>
    <mergeCell ref="CZ3:CZ5"/>
    <mergeCell ref="CJ3:CJ5"/>
    <mergeCell ref="CK3:CK5"/>
    <mergeCell ref="CL3:CL5"/>
    <mergeCell ref="CG4:CG5"/>
    <mergeCell ref="CH4:CH5"/>
    <mergeCell ref="CM3:CM5"/>
    <mergeCell ref="CO3:CO5"/>
    <mergeCell ref="CP3:CQ3"/>
    <mergeCell ref="CR3:CR5"/>
    <mergeCell ref="CA3:CB3"/>
    <mergeCell ref="CC3:CC5"/>
    <mergeCell ref="CD3:CD5"/>
    <mergeCell ref="CE3:CE5"/>
    <mergeCell ref="CA4:CA5"/>
    <mergeCell ref="CB4:CB5"/>
    <mergeCell ref="CF3:CF5"/>
    <mergeCell ref="CG3:CH3"/>
    <mergeCell ref="CI3:CI5"/>
    <mergeCell ref="BS3:BS5"/>
    <mergeCell ref="BT3:BU3"/>
    <mergeCell ref="BV3:BV5"/>
    <mergeCell ref="BW3:BW5"/>
    <mergeCell ref="BX3:BX5"/>
    <mergeCell ref="BT4:BT5"/>
    <mergeCell ref="BU4:BU5"/>
    <mergeCell ref="BY3:BY5"/>
    <mergeCell ref="BZ3:BZ5"/>
    <mergeCell ref="BJ3:BJ5"/>
    <mergeCell ref="BK3:BL3"/>
    <mergeCell ref="BM3:BM5"/>
    <mergeCell ref="BN3:BN5"/>
    <mergeCell ref="BO3:BO5"/>
    <mergeCell ref="BP3:BP5"/>
    <mergeCell ref="BK4:BK5"/>
    <mergeCell ref="BL4:BL5"/>
    <mergeCell ref="BQ3:BQ5"/>
    <mergeCell ref="BB3:BB5"/>
    <mergeCell ref="AX4:AX5"/>
    <mergeCell ref="AY4:AY5"/>
    <mergeCell ref="BC3:BC5"/>
    <mergeCell ref="BD3:BD5"/>
    <mergeCell ref="BE3:BF3"/>
    <mergeCell ref="BG3:BG5"/>
    <mergeCell ref="BH3:BH5"/>
    <mergeCell ref="BI3:BI5"/>
    <mergeCell ref="BE4:BE5"/>
    <mergeCell ref="BF4:BF5"/>
    <mergeCell ref="AS3:AS5"/>
    <mergeCell ref="AT3:AT5"/>
    <mergeCell ref="AO4:AO5"/>
    <mergeCell ref="AP4:AP5"/>
    <mergeCell ref="AU3:AU5"/>
    <mergeCell ref="AW3:AW5"/>
    <mergeCell ref="AX3:AY3"/>
    <mergeCell ref="AZ3:AZ5"/>
    <mergeCell ref="BA3:BA5"/>
    <mergeCell ref="AK3:AK5"/>
    <mergeCell ref="AL3:AL5"/>
    <mergeCell ref="AM3:AM5"/>
    <mergeCell ref="AJ4:AJ5"/>
    <mergeCell ref="AI4:AI5"/>
    <mergeCell ref="AN3:AN5"/>
    <mergeCell ref="AO3:AP3"/>
    <mergeCell ref="AQ3:AQ5"/>
    <mergeCell ref="AR3:AR5"/>
    <mergeCell ref="AB3:AC3"/>
    <mergeCell ref="AD3:AD5"/>
    <mergeCell ref="AE3:AE5"/>
    <mergeCell ref="AF3:AF5"/>
    <mergeCell ref="AB4:AB5"/>
    <mergeCell ref="AC4:AC5"/>
    <mergeCell ref="AG3:AG5"/>
    <mergeCell ref="AH3:AH5"/>
    <mergeCell ref="AI3:AJ3"/>
    <mergeCell ref="X3:X5"/>
    <mergeCell ref="T4:T5"/>
    <mergeCell ref="E3:E5"/>
    <mergeCell ref="F3:G3"/>
    <mergeCell ref="H3:H5"/>
    <mergeCell ref="I3:I5"/>
    <mergeCell ref="J3:J5"/>
    <mergeCell ref="Y3:Y5"/>
    <mergeCell ref="AA3:AA5"/>
    <mergeCell ref="M3:N3"/>
    <mergeCell ref="O3:O5"/>
    <mergeCell ref="P3:P5"/>
    <mergeCell ref="Q3:Q5"/>
    <mergeCell ref="U3:U5"/>
    <mergeCell ref="V3:V5"/>
    <mergeCell ref="W3:W5"/>
    <mergeCell ref="DH1:DI2"/>
    <mergeCell ref="DK1:DP2"/>
    <mergeCell ref="DQ1:DQ2"/>
    <mergeCell ref="DR1:DW2"/>
    <mergeCell ref="FV1:FW2"/>
    <mergeCell ref="DX1:EC2"/>
    <mergeCell ref="ED1:EE2"/>
    <mergeCell ref="EG1:EL2"/>
    <mergeCell ref="EM1:EM2"/>
    <mergeCell ref="EN1:ES2"/>
    <mergeCell ref="ET1:EY2"/>
    <mergeCell ref="EZ1:FA2"/>
    <mergeCell ref="FC1:FH2"/>
    <mergeCell ref="FI1:FI2"/>
    <mergeCell ref="FJ1:FO2"/>
    <mergeCell ref="FP1:FU2"/>
    <mergeCell ref="GF3:GF5"/>
    <mergeCell ref="GG3:GH3"/>
    <mergeCell ref="GI3:GI5"/>
    <mergeCell ref="GJ3:GJ5"/>
    <mergeCell ref="X1:Y2"/>
    <mergeCell ref="AA1:AF2"/>
    <mergeCell ref="AG1:AG2"/>
    <mergeCell ref="AH1:AM2"/>
    <mergeCell ref="AN1:AS2"/>
    <mergeCell ref="AT1:AU2"/>
    <mergeCell ref="AW1:BB2"/>
    <mergeCell ref="BC1:BC2"/>
    <mergeCell ref="BD1:BI2"/>
    <mergeCell ref="BJ1:BO2"/>
    <mergeCell ref="BP1:BQ2"/>
    <mergeCell ref="BS1:BX2"/>
    <mergeCell ref="BY1:BY2"/>
    <mergeCell ref="BZ1:CE2"/>
    <mergeCell ref="CF1:CK2"/>
    <mergeCell ref="CL1:CM2"/>
    <mergeCell ref="CO1:CT2"/>
    <mergeCell ref="CU1:CU2"/>
    <mergeCell ref="CV1:DA2"/>
    <mergeCell ref="DB1:DG2"/>
    <mergeCell ref="GK3:GK5"/>
    <mergeCell ref="FY1:GD2"/>
    <mergeCell ref="GF1:GK2"/>
    <mergeCell ref="GL1:GQ2"/>
    <mergeCell ref="GU1:GZ2"/>
    <mergeCell ref="HB1:HG2"/>
    <mergeCell ref="HH1:HM2"/>
    <mergeCell ref="HJ4:HJ5"/>
    <mergeCell ref="FY3:FY5"/>
    <mergeCell ref="FZ3:GA3"/>
    <mergeCell ref="GB3:GB5"/>
    <mergeCell ref="GC3:GC5"/>
    <mergeCell ref="GD3:GD5"/>
    <mergeCell ref="FZ4:FZ5"/>
    <mergeCell ref="GA4:GA5"/>
    <mergeCell ref="GG4:GG5"/>
    <mergeCell ref="GH4:GH5"/>
    <mergeCell ref="GM4:GM5"/>
    <mergeCell ref="GN4:GN5"/>
    <mergeCell ref="GL3:GL5"/>
    <mergeCell ref="GM3:GN3"/>
    <mergeCell ref="GO3:GO5"/>
    <mergeCell ref="GP3:GP5"/>
    <mergeCell ref="GQ3:GQ5"/>
    <mergeCell ref="HG3:HG5"/>
    <mergeCell ref="HH3:HH5"/>
    <mergeCell ref="HI3:HJ3"/>
    <mergeCell ref="HK3:HK5"/>
    <mergeCell ref="HL3:HL5"/>
    <mergeCell ref="HM3:HM5"/>
    <mergeCell ref="GV4:GV5"/>
    <mergeCell ref="GW4:GW5"/>
    <mergeCell ref="HC4:HC5"/>
    <mergeCell ref="HD4:HD5"/>
    <mergeCell ref="HI4:HI5"/>
    <mergeCell ref="GU3:GU5"/>
    <mergeCell ref="GV3:GW3"/>
    <mergeCell ref="GX3:GX5"/>
    <mergeCell ref="GY3:GY5"/>
    <mergeCell ref="GZ3:GZ5"/>
    <mergeCell ref="HB3:HB5"/>
    <mergeCell ref="HC3:HD3"/>
    <mergeCell ref="HE3:HE5"/>
    <mergeCell ref="HF3:HF5"/>
  </mergeCells>
  <printOptions horizontalCentered="1" verticalCentered="1"/>
  <pageMargins left="0.59055118110236227" right="0.51181102362204722" top="0.39370078740157483" bottom="0.19685039370078741" header="0.39370078740157483" footer="0.19685039370078741"/>
  <pageSetup paperSize="9" scale="55" pageOrder="overThenDown" orientation="landscape" r:id="rId1"/>
  <headerFooter alignWithMargins="0">
    <oddHeader>&amp;C&amp;"Arial CE,tučné"Přehled o vývoji počtu zaměstnanců a objemech mezd od roku  1 9 9 3
za   R O P O  c e l k e m
&amp;R&amp;A   -   &amp;F</oddHeader>
    <oddFooter>&amp;C6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List3"/>
  <dimension ref="A1:AU58"/>
  <sheetViews>
    <sheetView zoomScale="90" zoomScaleNormal="90" workbookViewId="0">
      <pane xSplit="3" ySplit="5" topLeftCell="L22" activePane="bottomRight" state="frozen"/>
      <selection activeCell="HC12" sqref="HC12"/>
      <selection pane="topRight" activeCell="HC12" sqref="HC12"/>
      <selection pane="bottomLeft" activeCell="HC12" sqref="HC12"/>
      <selection pane="bottomRight" activeCell="X1" sqref="X1:Y1048576"/>
    </sheetView>
  </sheetViews>
  <sheetFormatPr baseColWidth="10" defaultColWidth="11.5" defaultRowHeight="13"/>
  <cols>
    <col min="1" max="1" width="9.33203125" style="6" customWidth="1"/>
    <col min="2" max="2" width="11.6640625" style="6" customWidth="1"/>
    <col min="3" max="3" width="37" style="13" customWidth="1"/>
    <col min="4" max="4" width="3.6640625" style="13" customWidth="1"/>
    <col min="5" max="5" width="15.83203125" style="6" customWidth="1"/>
    <col min="6" max="6" width="14.33203125" style="6" customWidth="1"/>
    <col min="7" max="7" width="15.83203125" style="6" customWidth="1"/>
    <col min="8" max="8" width="11.5" style="6"/>
    <col min="9" max="9" width="15.1640625" style="6" customWidth="1"/>
    <col min="10" max="11" width="11.5" style="6"/>
    <col min="12" max="12" width="16.33203125" style="6" customWidth="1"/>
    <col min="13" max="13" width="14.1640625" style="6" customWidth="1"/>
    <col min="14" max="14" width="18.33203125" style="6" customWidth="1"/>
    <col min="15" max="15" width="13.33203125" style="6" customWidth="1"/>
    <col min="16" max="17" width="11.5" style="6"/>
    <col min="18" max="18" width="16.1640625" style="6" customWidth="1"/>
    <col min="19" max="19" width="14.33203125" style="6" customWidth="1"/>
    <col min="20" max="20" width="16.5" style="6" customWidth="1"/>
    <col min="21" max="21" width="12.83203125" style="6" customWidth="1"/>
    <col min="22" max="22" width="11.33203125" style="6" customWidth="1"/>
    <col min="23" max="25" width="11.5" style="6"/>
    <col min="27" max="27" width="17.83203125" style="6" customWidth="1"/>
    <col min="28" max="28" width="14.6640625" style="6" customWidth="1"/>
    <col min="29" max="29" width="15.5" style="6" customWidth="1"/>
    <col min="30" max="33" width="11.5" style="6"/>
    <col min="34" max="34" width="16.5" style="6" customWidth="1"/>
    <col min="35" max="35" width="13.83203125" style="6" customWidth="1"/>
    <col min="36" max="36" width="16.5" style="6" customWidth="1"/>
    <col min="37" max="39" width="11.5" style="6"/>
    <col min="40" max="40" width="15.6640625" style="6" customWidth="1"/>
    <col min="41" max="41" width="15.1640625" style="6" customWidth="1"/>
    <col min="42" max="42" width="16.6640625" style="6" customWidth="1"/>
    <col min="43" max="47" width="11.5" style="6"/>
  </cols>
  <sheetData>
    <row r="1" spans="1:47" ht="14" customHeight="1" thickTop="1">
      <c r="A1" s="323" t="s">
        <v>131</v>
      </c>
      <c r="B1" s="348" t="s">
        <v>132</v>
      </c>
      <c r="C1" s="28"/>
      <c r="D1" s="54"/>
      <c r="E1" s="310" t="s">
        <v>220</v>
      </c>
      <c r="F1" s="311"/>
      <c r="G1" s="311"/>
      <c r="H1" s="311"/>
      <c r="I1" s="311"/>
      <c r="J1" s="312"/>
      <c r="K1" s="370" t="s">
        <v>162</v>
      </c>
      <c r="L1" s="310" t="s">
        <v>221</v>
      </c>
      <c r="M1" s="311"/>
      <c r="N1" s="311"/>
      <c r="O1" s="311"/>
      <c r="P1" s="311"/>
      <c r="Q1" s="312"/>
      <c r="R1" s="310" t="s">
        <v>222</v>
      </c>
      <c r="S1" s="311"/>
      <c r="T1" s="311"/>
      <c r="U1" s="311"/>
      <c r="V1" s="311"/>
      <c r="W1" s="312"/>
      <c r="X1" s="372" t="s">
        <v>162</v>
      </c>
      <c r="Y1" s="373"/>
      <c r="AA1" s="310" t="s">
        <v>224</v>
      </c>
      <c r="AB1" s="311"/>
      <c r="AC1" s="311"/>
      <c r="AD1" s="311"/>
      <c r="AE1" s="311"/>
      <c r="AF1" s="312"/>
      <c r="AG1" s="370" t="s">
        <v>162</v>
      </c>
      <c r="AH1" s="310" t="s">
        <v>225</v>
      </c>
      <c r="AI1" s="311"/>
      <c r="AJ1" s="311"/>
      <c r="AK1" s="311"/>
      <c r="AL1" s="311"/>
      <c r="AM1" s="312"/>
      <c r="AN1" s="310" t="s">
        <v>226</v>
      </c>
      <c r="AO1" s="311"/>
      <c r="AP1" s="311"/>
      <c r="AQ1" s="311"/>
      <c r="AR1" s="311"/>
      <c r="AS1" s="312"/>
      <c r="AT1" s="372" t="s">
        <v>162</v>
      </c>
      <c r="AU1" s="373"/>
    </row>
    <row r="2" spans="1:47" ht="26.25" customHeight="1" thickBot="1">
      <c r="A2" s="324"/>
      <c r="B2" s="349"/>
      <c r="C2" s="29"/>
      <c r="D2" s="55"/>
      <c r="E2" s="313"/>
      <c r="F2" s="314"/>
      <c r="G2" s="314"/>
      <c r="H2" s="314"/>
      <c r="I2" s="314"/>
      <c r="J2" s="315"/>
      <c r="K2" s="371"/>
      <c r="L2" s="313"/>
      <c r="M2" s="314"/>
      <c r="N2" s="314"/>
      <c r="O2" s="314"/>
      <c r="P2" s="314"/>
      <c r="Q2" s="315"/>
      <c r="R2" s="313"/>
      <c r="S2" s="314"/>
      <c r="T2" s="314"/>
      <c r="U2" s="314"/>
      <c r="V2" s="314"/>
      <c r="W2" s="315"/>
      <c r="X2" s="374"/>
      <c r="Y2" s="375"/>
      <c r="AA2" s="313"/>
      <c r="AB2" s="314"/>
      <c r="AC2" s="314"/>
      <c r="AD2" s="314"/>
      <c r="AE2" s="314"/>
      <c r="AF2" s="315"/>
      <c r="AG2" s="371"/>
      <c r="AH2" s="313"/>
      <c r="AI2" s="314"/>
      <c r="AJ2" s="314"/>
      <c r="AK2" s="314"/>
      <c r="AL2" s="314"/>
      <c r="AM2" s="315"/>
      <c r="AN2" s="313"/>
      <c r="AO2" s="314"/>
      <c r="AP2" s="314"/>
      <c r="AQ2" s="314"/>
      <c r="AR2" s="314"/>
      <c r="AS2" s="315"/>
      <c r="AT2" s="374"/>
      <c r="AU2" s="375"/>
    </row>
    <row r="3" spans="1:47" ht="14" customHeight="1" thickBot="1">
      <c r="A3" s="324"/>
      <c r="B3" s="349"/>
      <c r="C3" s="30" t="s">
        <v>0</v>
      </c>
      <c r="D3" s="56"/>
      <c r="E3" s="337" t="s">
        <v>181</v>
      </c>
      <c r="F3" s="385" t="s">
        <v>1</v>
      </c>
      <c r="G3" s="386"/>
      <c r="H3" s="387" t="s">
        <v>134</v>
      </c>
      <c r="I3" s="329" t="s">
        <v>183</v>
      </c>
      <c r="J3" s="332" t="s">
        <v>135</v>
      </c>
      <c r="K3" s="382" t="s">
        <v>149</v>
      </c>
      <c r="L3" s="337" t="s">
        <v>181</v>
      </c>
      <c r="M3" s="340" t="s">
        <v>1</v>
      </c>
      <c r="N3" s="341"/>
      <c r="O3" s="329" t="s">
        <v>134</v>
      </c>
      <c r="P3" s="329" t="s">
        <v>183</v>
      </c>
      <c r="Q3" s="332" t="s">
        <v>135</v>
      </c>
      <c r="R3" s="337" t="s">
        <v>181</v>
      </c>
      <c r="S3" s="340" t="s">
        <v>1</v>
      </c>
      <c r="T3" s="341"/>
      <c r="U3" s="329" t="s">
        <v>134</v>
      </c>
      <c r="V3" s="329" t="s">
        <v>183</v>
      </c>
      <c r="W3" s="332" t="s">
        <v>135</v>
      </c>
      <c r="X3" s="376" t="s">
        <v>150</v>
      </c>
      <c r="Y3" s="379" t="s">
        <v>151</v>
      </c>
      <c r="AA3" s="337" t="s">
        <v>181</v>
      </c>
      <c r="AB3" s="385" t="s">
        <v>1</v>
      </c>
      <c r="AC3" s="386"/>
      <c r="AD3" s="387" t="s">
        <v>134</v>
      </c>
      <c r="AE3" s="329" t="s">
        <v>183</v>
      </c>
      <c r="AF3" s="332" t="s">
        <v>135</v>
      </c>
      <c r="AG3" s="382" t="s">
        <v>149</v>
      </c>
      <c r="AH3" s="337" t="s">
        <v>181</v>
      </c>
      <c r="AI3" s="340" t="s">
        <v>1</v>
      </c>
      <c r="AJ3" s="341"/>
      <c r="AK3" s="329" t="s">
        <v>134</v>
      </c>
      <c r="AL3" s="329" t="s">
        <v>183</v>
      </c>
      <c r="AM3" s="332" t="s">
        <v>135</v>
      </c>
      <c r="AN3" s="337" t="s">
        <v>181</v>
      </c>
      <c r="AO3" s="340" t="s">
        <v>1</v>
      </c>
      <c r="AP3" s="341"/>
      <c r="AQ3" s="329" t="s">
        <v>134</v>
      </c>
      <c r="AR3" s="329" t="s">
        <v>183</v>
      </c>
      <c r="AS3" s="332" t="s">
        <v>135</v>
      </c>
      <c r="AT3" s="376" t="s">
        <v>150</v>
      </c>
      <c r="AU3" s="379" t="s">
        <v>151</v>
      </c>
    </row>
    <row r="4" spans="1:47" ht="12.75" customHeight="1">
      <c r="A4" s="324"/>
      <c r="B4" s="349"/>
      <c r="C4" s="31" t="s">
        <v>2</v>
      </c>
      <c r="D4" s="57"/>
      <c r="E4" s="338"/>
      <c r="F4" s="390" t="s">
        <v>182</v>
      </c>
      <c r="G4" s="387" t="s">
        <v>133</v>
      </c>
      <c r="H4" s="388"/>
      <c r="I4" s="330"/>
      <c r="J4" s="333"/>
      <c r="K4" s="383"/>
      <c r="L4" s="338"/>
      <c r="M4" s="335" t="s">
        <v>182</v>
      </c>
      <c r="N4" s="329" t="s">
        <v>133</v>
      </c>
      <c r="O4" s="330"/>
      <c r="P4" s="330"/>
      <c r="Q4" s="333"/>
      <c r="R4" s="338"/>
      <c r="S4" s="335" t="s">
        <v>182</v>
      </c>
      <c r="T4" s="329" t="s">
        <v>133</v>
      </c>
      <c r="U4" s="330"/>
      <c r="V4" s="330"/>
      <c r="W4" s="333"/>
      <c r="X4" s="377"/>
      <c r="Y4" s="380"/>
      <c r="AA4" s="338"/>
      <c r="AB4" s="390" t="s">
        <v>182</v>
      </c>
      <c r="AC4" s="387" t="s">
        <v>133</v>
      </c>
      <c r="AD4" s="388"/>
      <c r="AE4" s="330"/>
      <c r="AF4" s="333"/>
      <c r="AG4" s="383"/>
      <c r="AH4" s="338"/>
      <c r="AI4" s="335" t="s">
        <v>182</v>
      </c>
      <c r="AJ4" s="329" t="s">
        <v>133</v>
      </c>
      <c r="AK4" s="330"/>
      <c r="AL4" s="330"/>
      <c r="AM4" s="333"/>
      <c r="AN4" s="338"/>
      <c r="AO4" s="335" t="s">
        <v>182</v>
      </c>
      <c r="AP4" s="329" t="s">
        <v>133</v>
      </c>
      <c r="AQ4" s="330"/>
      <c r="AR4" s="330"/>
      <c r="AS4" s="333"/>
      <c r="AT4" s="377"/>
      <c r="AU4" s="380"/>
    </row>
    <row r="5" spans="1:47" ht="14" customHeight="1" thickBot="1">
      <c r="A5" s="325"/>
      <c r="B5" s="350"/>
      <c r="C5" s="32"/>
      <c r="D5" s="56"/>
      <c r="E5" s="339"/>
      <c r="F5" s="391"/>
      <c r="G5" s="389"/>
      <c r="H5" s="389"/>
      <c r="I5" s="331"/>
      <c r="J5" s="334"/>
      <c r="K5" s="384"/>
      <c r="L5" s="339"/>
      <c r="M5" s="336"/>
      <c r="N5" s="331"/>
      <c r="O5" s="331"/>
      <c r="P5" s="331"/>
      <c r="Q5" s="334"/>
      <c r="R5" s="339"/>
      <c r="S5" s="336"/>
      <c r="T5" s="331"/>
      <c r="U5" s="331"/>
      <c r="V5" s="331"/>
      <c r="W5" s="334"/>
      <c r="X5" s="378"/>
      <c r="Y5" s="381"/>
      <c r="AA5" s="339"/>
      <c r="AB5" s="391"/>
      <c r="AC5" s="389"/>
      <c r="AD5" s="389"/>
      <c r="AE5" s="331"/>
      <c r="AF5" s="334"/>
      <c r="AG5" s="384"/>
      <c r="AH5" s="339"/>
      <c r="AI5" s="336"/>
      <c r="AJ5" s="331"/>
      <c r="AK5" s="331"/>
      <c r="AL5" s="331"/>
      <c r="AM5" s="334"/>
      <c r="AN5" s="339"/>
      <c r="AO5" s="336"/>
      <c r="AP5" s="331"/>
      <c r="AQ5" s="331"/>
      <c r="AR5" s="331"/>
      <c r="AS5" s="334"/>
      <c r="AT5" s="378"/>
      <c r="AU5" s="381"/>
    </row>
    <row r="6" spans="1:47" ht="18" customHeight="1" thickTop="1">
      <c r="A6" s="65">
        <v>301</v>
      </c>
      <c r="B6" s="68" t="s">
        <v>3</v>
      </c>
      <c r="C6" s="33" t="s">
        <v>4</v>
      </c>
      <c r="D6" s="41"/>
      <c r="E6" s="75">
        <v>87687497</v>
      </c>
      <c r="F6" s="76">
        <v>2558335</v>
      </c>
      <c r="G6" s="76">
        <v>85129162</v>
      </c>
      <c r="H6" s="76">
        <v>258</v>
      </c>
      <c r="I6" s="76">
        <v>27496</v>
      </c>
      <c r="J6" s="77">
        <f t="shared" ref="J6:J40" si="0">RANK(I6,I$6:I$49,0)</f>
        <v>14</v>
      </c>
      <c r="K6" s="38"/>
      <c r="L6" s="75">
        <v>87687497</v>
      </c>
      <c r="M6" s="76">
        <v>2558335</v>
      </c>
      <c r="N6" s="76">
        <v>85129162</v>
      </c>
      <c r="O6" s="76">
        <v>258</v>
      </c>
      <c r="P6" s="76">
        <v>27496</v>
      </c>
      <c r="Q6" s="77">
        <f t="shared" ref="Q6:Q40" si="1">RANK(P6,P$6:P$49,0)</f>
        <v>16</v>
      </c>
      <c r="R6" s="75">
        <v>143075948</v>
      </c>
      <c r="S6" s="76">
        <v>2450667</v>
      </c>
      <c r="T6" s="76">
        <v>140625281</v>
      </c>
      <c r="U6" s="76">
        <v>255.74</v>
      </c>
      <c r="V6" s="76">
        <v>45823</v>
      </c>
      <c r="W6" s="77">
        <f t="shared" ref="W6:W40" si="2">RANK(V6,V$6:V$49,0)</f>
        <v>10</v>
      </c>
      <c r="X6" s="37"/>
      <c r="Y6" s="38"/>
      <c r="AA6" s="75">
        <v>124503878</v>
      </c>
      <c r="AB6" s="76">
        <v>2558335</v>
      </c>
      <c r="AC6" s="76">
        <v>121945543</v>
      </c>
      <c r="AD6" s="76">
        <v>258</v>
      </c>
      <c r="AE6" s="76">
        <v>39388</v>
      </c>
      <c r="AF6" s="77">
        <f t="shared" ref="AF6:AF49" si="3">RANK(AE6,AE$6:AE$49,0)</f>
        <v>11</v>
      </c>
      <c r="AG6" s="38"/>
      <c r="AH6" s="75">
        <v>124503878</v>
      </c>
      <c r="AI6" s="76">
        <v>2558335</v>
      </c>
      <c r="AJ6" s="76">
        <v>121945543</v>
      </c>
      <c r="AK6" s="76">
        <v>258</v>
      </c>
      <c r="AL6" s="76">
        <v>39388</v>
      </c>
      <c r="AM6" s="77">
        <f t="shared" ref="AM6:AM49" si="4">RANK(AL6,AL$6:AL$49,0)</f>
        <v>12</v>
      </c>
      <c r="AN6" s="75">
        <v>154679333</v>
      </c>
      <c r="AO6" s="76">
        <v>2017446</v>
      </c>
      <c r="AP6" s="76">
        <v>152661887</v>
      </c>
      <c r="AQ6" s="76">
        <v>255.64</v>
      </c>
      <c r="AR6" s="76">
        <v>49765</v>
      </c>
      <c r="AS6" s="77">
        <f t="shared" ref="AS6:AS49" si="5">RANK(AR6,AR$6:AR$49,0)</f>
        <v>10</v>
      </c>
      <c r="AT6" s="37"/>
      <c r="AU6" s="38"/>
    </row>
    <row r="7" spans="1:47" ht="18" customHeight="1">
      <c r="A7" s="65">
        <v>302</v>
      </c>
      <c r="B7" s="68" t="s">
        <v>5</v>
      </c>
      <c r="C7" s="33" t="s">
        <v>6</v>
      </c>
      <c r="D7" s="41"/>
      <c r="E7" s="75">
        <v>0</v>
      </c>
      <c r="F7" s="76"/>
      <c r="G7" s="76"/>
      <c r="H7" s="76"/>
      <c r="I7" s="76">
        <v>0</v>
      </c>
      <c r="J7" s="77">
        <f t="shared" si="0"/>
        <v>16</v>
      </c>
      <c r="K7" s="26"/>
      <c r="L7" s="24">
        <v>0</v>
      </c>
      <c r="M7" s="14"/>
      <c r="N7" s="14"/>
      <c r="O7" s="14"/>
      <c r="P7" s="14">
        <v>0</v>
      </c>
      <c r="Q7" s="77">
        <f t="shared" si="1"/>
        <v>17</v>
      </c>
      <c r="R7" s="24">
        <v>0</v>
      </c>
      <c r="S7" s="14"/>
      <c r="T7" s="14"/>
      <c r="U7" s="14"/>
      <c r="V7" s="14">
        <v>0</v>
      </c>
      <c r="W7" s="77">
        <f t="shared" si="2"/>
        <v>17</v>
      </c>
      <c r="X7" s="37"/>
      <c r="Y7" s="38"/>
      <c r="AA7" s="75">
        <v>0</v>
      </c>
      <c r="AB7" s="76"/>
      <c r="AC7" s="76"/>
      <c r="AD7" s="76"/>
      <c r="AE7" s="76">
        <v>0</v>
      </c>
      <c r="AF7" s="77">
        <f t="shared" si="3"/>
        <v>17</v>
      </c>
      <c r="AG7" s="26"/>
      <c r="AH7" s="24">
        <v>0</v>
      </c>
      <c r="AI7" s="14"/>
      <c r="AJ7" s="14"/>
      <c r="AK7" s="14"/>
      <c r="AL7" s="14">
        <v>0</v>
      </c>
      <c r="AM7" s="77">
        <f t="shared" si="4"/>
        <v>17</v>
      </c>
      <c r="AN7" s="24">
        <v>0</v>
      </c>
      <c r="AO7" s="14"/>
      <c r="AP7" s="14"/>
      <c r="AQ7" s="14"/>
      <c r="AR7" s="14">
        <v>0</v>
      </c>
      <c r="AS7" s="77">
        <f t="shared" si="5"/>
        <v>17</v>
      </c>
      <c r="AT7" s="37"/>
      <c r="AU7" s="38"/>
    </row>
    <row r="8" spans="1:47" ht="18" customHeight="1">
      <c r="A8" s="65">
        <v>303</v>
      </c>
      <c r="B8" s="68" t="s">
        <v>7</v>
      </c>
      <c r="C8" s="33" t="s">
        <v>8</v>
      </c>
      <c r="D8" s="41"/>
      <c r="E8" s="75">
        <v>0</v>
      </c>
      <c r="F8" s="76"/>
      <c r="G8" s="76"/>
      <c r="H8" s="76"/>
      <c r="I8" s="76">
        <v>0</v>
      </c>
      <c r="J8" s="77">
        <f t="shared" si="0"/>
        <v>16</v>
      </c>
      <c r="K8" s="26"/>
      <c r="L8" s="24">
        <v>0</v>
      </c>
      <c r="M8" s="14"/>
      <c r="N8" s="14"/>
      <c r="O8" s="14"/>
      <c r="P8" s="14">
        <v>0</v>
      </c>
      <c r="Q8" s="77">
        <f t="shared" si="1"/>
        <v>17</v>
      </c>
      <c r="R8" s="24">
        <v>0</v>
      </c>
      <c r="S8" s="14"/>
      <c r="T8" s="14"/>
      <c r="U8" s="14"/>
      <c r="V8" s="14">
        <v>0</v>
      </c>
      <c r="W8" s="77">
        <f t="shared" si="2"/>
        <v>17</v>
      </c>
      <c r="X8" s="37"/>
      <c r="Y8" s="38"/>
      <c r="AA8" s="75">
        <v>0</v>
      </c>
      <c r="AB8" s="76"/>
      <c r="AC8" s="76"/>
      <c r="AD8" s="76"/>
      <c r="AE8" s="76">
        <v>0</v>
      </c>
      <c r="AF8" s="77">
        <f t="shared" si="3"/>
        <v>17</v>
      </c>
      <c r="AG8" s="26"/>
      <c r="AH8" s="24">
        <v>0</v>
      </c>
      <c r="AI8" s="14"/>
      <c r="AJ8" s="14"/>
      <c r="AK8" s="14"/>
      <c r="AL8" s="14">
        <v>0</v>
      </c>
      <c r="AM8" s="77">
        <f t="shared" si="4"/>
        <v>17</v>
      </c>
      <c r="AN8" s="24">
        <v>0</v>
      </c>
      <c r="AO8" s="14"/>
      <c r="AP8" s="14"/>
      <c r="AQ8" s="14"/>
      <c r="AR8" s="14">
        <v>0</v>
      </c>
      <c r="AS8" s="77">
        <f t="shared" si="5"/>
        <v>17</v>
      </c>
      <c r="AT8" s="37"/>
      <c r="AU8" s="38"/>
    </row>
    <row r="9" spans="1:47" ht="18" customHeight="1">
      <c r="A9" s="65">
        <v>304</v>
      </c>
      <c r="B9" s="68" t="s">
        <v>9</v>
      </c>
      <c r="C9" s="33" t="s">
        <v>10</v>
      </c>
      <c r="D9" s="41"/>
      <c r="E9" s="75">
        <v>0</v>
      </c>
      <c r="F9" s="76"/>
      <c r="G9" s="76"/>
      <c r="H9" s="76"/>
      <c r="I9" s="76">
        <v>0</v>
      </c>
      <c r="J9" s="77">
        <f t="shared" si="0"/>
        <v>16</v>
      </c>
      <c r="K9" s="26"/>
      <c r="L9" s="24">
        <v>0</v>
      </c>
      <c r="M9" s="14"/>
      <c r="N9" s="14"/>
      <c r="O9" s="14"/>
      <c r="P9" s="14">
        <v>0</v>
      </c>
      <c r="Q9" s="77">
        <f t="shared" si="1"/>
        <v>17</v>
      </c>
      <c r="R9" s="24">
        <v>0</v>
      </c>
      <c r="S9" s="14"/>
      <c r="T9" s="14"/>
      <c r="U9" s="14"/>
      <c r="V9" s="14">
        <v>0</v>
      </c>
      <c r="W9" s="77">
        <f t="shared" si="2"/>
        <v>17</v>
      </c>
      <c r="X9" s="37"/>
      <c r="Y9" s="38"/>
      <c r="AA9" s="75">
        <v>0</v>
      </c>
      <c r="AB9" s="76"/>
      <c r="AC9" s="76"/>
      <c r="AD9" s="76"/>
      <c r="AE9" s="76">
        <v>0</v>
      </c>
      <c r="AF9" s="77">
        <f t="shared" si="3"/>
        <v>17</v>
      </c>
      <c r="AG9" s="26"/>
      <c r="AH9" s="24">
        <v>0</v>
      </c>
      <c r="AI9" s="14"/>
      <c r="AJ9" s="14"/>
      <c r="AK9" s="14"/>
      <c r="AL9" s="14">
        <v>0</v>
      </c>
      <c r="AM9" s="77">
        <f t="shared" si="4"/>
        <v>17</v>
      </c>
      <c r="AN9" s="24">
        <v>0</v>
      </c>
      <c r="AO9" s="14"/>
      <c r="AP9" s="14"/>
      <c r="AQ9" s="14"/>
      <c r="AR9" s="14">
        <v>0</v>
      </c>
      <c r="AS9" s="77">
        <f t="shared" si="5"/>
        <v>17</v>
      </c>
      <c r="AT9" s="37"/>
      <c r="AU9" s="38"/>
    </row>
    <row r="10" spans="1:47" ht="18" customHeight="1">
      <c r="A10" s="65">
        <v>306</v>
      </c>
      <c r="B10" s="68" t="s">
        <v>11</v>
      </c>
      <c r="C10" s="33" t="s">
        <v>12</v>
      </c>
      <c r="D10" s="41"/>
      <c r="E10" s="75">
        <v>40196227</v>
      </c>
      <c r="F10" s="76">
        <v>1421992</v>
      </c>
      <c r="G10" s="76">
        <v>38774235</v>
      </c>
      <c r="H10" s="76">
        <v>89</v>
      </c>
      <c r="I10" s="76">
        <v>36305</v>
      </c>
      <c r="J10" s="77">
        <f t="shared" si="0"/>
        <v>8</v>
      </c>
      <c r="K10" s="26"/>
      <c r="L10" s="24">
        <v>43998547</v>
      </c>
      <c r="M10" s="14">
        <v>1421992</v>
      </c>
      <c r="N10" s="14">
        <v>42576555</v>
      </c>
      <c r="O10" s="14">
        <v>95</v>
      </c>
      <c r="P10" s="14">
        <v>37348</v>
      </c>
      <c r="Q10" s="77">
        <f t="shared" si="1"/>
        <v>11</v>
      </c>
      <c r="R10" s="24">
        <v>45599419</v>
      </c>
      <c r="S10" s="14">
        <v>1496750</v>
      </c>
      <c r="T10" s="14">
        <v>44102669</v>
      </c>
      <c r="U10" s="14">
        <v>71.12</v>
      </c>
      <c r="V10" s="14">
        <v>51676</v>
      </c>
      <c r="W10" s="77">
        <f t="shared" si="2"/>
        <v>6</v>
      </c>
      <c r="X10" s="37"/>
      <c r="Y10" s="38"/>
      <c r="AA10" s="75">
        <v>47572041</v>
      </c>
      <c r="AB10" s="76">
        <v>1421992</v>
      </c>
      <c r="AC10" s="76">
        <v>46150049</v>
      </c>
      <c r="AD10" s="76">
        <v>97</v>
      </c>
      <c r="AE10" s="76">
        <v>39648</v>
      </c>
      <c r="AF10" s="77">
        <f t="shared" si="3"/>
        <v>10</v>
      </c>
      <c r="AG10" s="26"/>
      <c r="AH10" s="24">
        <v>48032741</v>
      </c>
      <c r="AI10" s="14">
        <v>1421992</v>
      </c>
      <c r="AJ10" s="14">
        <v>46610749</v>
      </c>
      <c r="AK10" s="14">
        <v>97.83</v>
      </c>
      <c r="AL10" s="14">
        <v>39704</v>
      </c>
      <c r="AM10" s="77">
        <f t="shared" si="4"/>
        <v>11</v>
      </c>
      <c r="AN10" s="24">
        <v>50600990</v>
      </c>
      <c r="AO10" s="14">
        <v>1705697</v>
      </c>
      <c r="AP10" s="14">
        <v>48895293</v>
      </c>
      <c r="AQ10" s="14">
        <v>73.600000000000009</v>
      </c>
      <c r="AR10" s="14">
        <v>55362</v>
      </c>
      <c r="AS10" s="77">
        <f t="shared" si="5"/>
        <v>5</v>
      </c>
      <c r="AT10" s="37"/>
      <c r="AU10" s="38"/>
    </row>
    <row r="11" spans="1:47" ht="18" customHeight="1">
      <c r="A11" s="65">
        <v>307</v>
      </c>
      <c r="B11" s="68" t="s">
        <v>13</v>
      </c>
      <c r="C11" s="33" t="s">
        <v>14</v>
      </c>
      <c r="D11" s="41"/>
      <c r="E11" s="75">
        <v>460801594</v>
      </c>
      <c r="F11" s="76">
        <v>18035807</v>
      </c>
      <c r="G11" s="76">
        <v>442765787</v>
      </c>
      <c r="H11" s="76">
        <v>1072</v>
      </c>
      <c r="I11" s="76">
        <v>34419</v>
      </c>
      <c r="J11" s="77">
        <f t="shared" si="0"/>
        <v>10</v>
      </c>
      <c r="K11" s="26"/>
      <c r="L11" s="24">
        <v>472143506</v>
      </c>
      <c r="M11" s="14">
        <v>20458901</v>
      </c>
      <c r="N11" s="14">
        <v>451684605</v>
      </c>
      <c r="O11" s="14">
        <v>1072</v>
      </c>
      <c r="P11" s="14">
        <v>35112</v>
      </c>
      <c r="Q11" s="77">
        <f t="shared" si="1"/>
        <v>12</v>
      </c>
      <c r="R11" s="24">
        <v>601646325.23000002</v>
      </c>
      <c r="S11" s="14">
        <v>25628155.75</v>
      </c>
      <c r="T11" s="14">
        <v>576018169.48000002</v>
      </c>
      <c r="U11" s="14">
        <v>1283.31</v>
      </c>
      <c r="V11" s="14">
        <v>37404</v>
      </c>
      <c r="W11" s="77">
        <f t="shared" si="2"/>
        <v>14</v>
      </c>
      <c r="X11" s="37"/>
      <c r="Y11" s="38"/>
      <c r="AA11" s="75">
        <v>494727735</v>
      </c>
      <c r="AB11" s="76">
        <v>20458901</v>
      </c>
      <c r="AC11" s="76">
        <v>474268834</v>
      </c>
      <c r="AD11" s="76">
        <v>1072</v>
      </c>
      <c r="AE11" s="76">
        <v>36868</v>
      </c>
      <c r="AF11" s="77">
        <f t="shared" si="3"/>
        <v>13</v>
      </c>
      <c r="AG11" s="26"/>
      <c r="AH11" s="24">
        <v>494727735</v>
      </c>
      <c r="AI11" s="14">
        <v>20458901</v>
      </c>
      <c r="AJ11" s="14">
        <v>474268834</v>
      </c>
      <c r="AK11" s="14">
        <v>1072</v>
      </c>
      <c r="AL11" s="14">
        <v>36868</v>
      </c>
      <c r="AM11" s="77">
        <f t="shared" si="4"/>
        <v>13</v>
      </c>
      <c r="AN11" s="24">
        <v>626942358.94000006</v>
      </c>
      <c r="AO11" s="14">
        <v>23754579.460000001</v>
      </c>
      <c r="AP11" s="14">
        <v>603187779.48000002</v>
      </c>
      <c r="AQ11" s="14">
        <v>1276.48</v>
      </c>
      <c r="AR11" s="14">
        <v>39378</v>
      </c>
      <c r="AS11" s="77">
        <f t="shared" si="5"/>
        <v>14</v>
      </c>
      <c r="AT11" s="37"/>
      <c r="AU11" s="38"/>
    </row>
    <row r="12" spans="1:47" ht="18" customHeight="1">
      <c r="A12" s="65">
        <v>308</v>
      </c>
      <c r="B12" s="68" t="s">
        <v>80</v>
      </c>
      <c r="C12" s="33" t="s">
        <v>81</v>
      </c>
      <c r="D12" s="41"/>
      <c r="E12" s="75">
        <v>0</v>
      </c>
      <c r="F12" s="76"/>
      <c r="G12" s="76"/>
      <c r="H12" s="76"/>
      <c r="I12" s="76">
        <v>0</v>
      </c>
      <c r="J12" s="77">
        <f t="shared" si="0"/>
        <v>16</v>
      </c>
      <c r="K12" s="26"/>
      <c r="L12" s="24">
        <v>0</v>
      </c>
      <c r="M12" s="14"/>
      <c r="N12" s="14"/>
      <c r="O12" s="14"/>
      <c r="P12" s="14">
        <v>0</v>
      </c>
      <c r="Q12" s="77">
        <f t="shared" si="1"/>
        <v>17</v>
      </c>
      <c r="R12" s="24">
        <v>0</v>
      </c>
      <c r="S12" s="14"/>
      <c r="T12" s="14"/>
      <c r="U12" s="14"/>
      <c r="V12" s="14">
        <v>0</v>
      </c>
      <c r="W12" s="77">
        <f t="shared" si="2"/>
        <v>17</v>
      </c>
      <c r="X12" s="37"/>
      <c r="Y12" s="38"/>
      <c r="AA12" s="75">
        <v>0</v>
      </c>
      <c r="AB12" s="76"/>
      <c r="AC12" s="76"/>
      <c r="AD12" s="76"/>
      <c r="AE12" s="76">
        <v>0</v>
      </c>
      <c r="AF12" s="77">
        <f t="shared" si="3"/>
        <v>17</v>
      </c>
      <c r="AG12" s="26"/>
      <c r="AH12" s="24">
        <v>0</v>
      </c>
      <c r="AI12" s="14"/>
      <c r="AJ12" s="14"/>
      <c r="AK12" s="14"/>
      <c r="AL12" s="14">
        <v>0</v>
      </c>
      <c r="AM12" s="77">
        <f t="shared" si="4"/>
        <v>17</v>
      </c>
      <c r="AN12" s="24">
        <v>0</v>
      </c>
      <c r="AO12" s="14"/>
      <c r="AP12" s="14"/>
      <c r="AQ12" s="14"/>
      <c r="AR12" s="14">
        <v>0</v>
      </c>
      <c r="AS12" s="77">
        <f t="shared" si="5"/>
        <v>17</v>
      </c>
      <c r="AT12" s="37"/>
      <c r="AU12" s="38"/>
    </row>
    <row r="13" spans="1:47" ht="18" customHeight="1">
      <c r="A13" s="65">
        <v>309</v>
      </c>
      <c r="B13" s="68" t="s">
        <v>82</v>
      </c>
      <c r="C13" s="33" t="s">
        <v>91</v>
      </c>
      <c r="D13" s="41"/>
      <c r="E13" s="75">
        <v>0</v>
      </c>
      <c r="F13" s="76"/>
      <c r="G13" s="76"/>
      <c r="H13" s="76"/>
      <c r="I13" s="76">
        <v>0</v>
      </c>
      <c r="J13" s="77">
        <f t="shared" si="0"/>
        <v>16</v>
      </c>
      <c r="K13" s="26"/>
      <c r="L13" s="24">
        <v>0</v>
      </c>
      <c r="M13" s="14"/>
      <c r="N13" s="14"/>
      <c r="O13" s="14"/>
      <c r="P13" s="14">
        <v>0</v>
      </c>
      <c r="Q13" s="77">
        <f t="shared" si="1"/>
        <v>17</v>
      </c>
      <c r="R13" s="24">
        <v>0</v>
      </c>
      <c r="S13" s="14"/>
      <c r="T13" s="14"/>
      <c r="U13" s="14"/>
      <c r="V13" s="14">
        <v>0</v>
      </c>
      <c r="W13" s="77">
        <f t="shared" si="2"/>
        <v>17</v>
      </c>
      <c r="X13" s="37"/>
      <c r="Y13" s="38"/>
      <c r="AA13" s="75">
        <v>0</v>
      </c>
      <c r="AB13" s="76"/>
      <c r="AC13" s="76"/>
      <c r="AD13" s="76"/>
      <c r="AE13" s="76">
        <v>0</v>
      </c>
      <c r="AF13" s="77">
        <f t="shared" si="3"/>
        <v>17</v>
      </c>
      <c r="AG13" s="26"/>
      <c r="AH13" s="24">
        <v>0</v>
      </c>
      <c r="AI13" s="14"/>
      <c r="AJ13" s="14"/>
      <c r="AK13" s="14"/>
      <c r="AL13" s="14">
        <v>0</v>
      </c>
      <c r="AM13" s="77">
        <f t="shared" si="4"/>
        <v>17</v>
      </c>
      <c r="AN13" s="24">
        <v>0</v>
      </c>
      <c r="AO13" s="14"/>
      <c r="AP13" s="14"/>
      <c r="AQ13" s="14"/>
      <c r="AR13" s="14">
        <v>0</v>
      </c>
      <c r="AS13" s="77">
        <f t="shared" si="5"/>
        <v>17</v>
      </c>
      <c r="AT13" s="37"/>
      <c r="AU13" s="38"/>
    </row>
    <row r="14" spans="1:47" ht="18" customHeight="1">
      <c r="A14" s="65">
        <v>312</v>
      </c>
      <c r="B14" s="68" t="s">
        <v>15</v>
      </c>
      <c r="C14" s="33" t="s">
        <v>16</v>
      </c>
      <c r="D14" s="41"/>
      <c r="E14" s="75">
        <v>0</v>
      </c>
      <c r="F14" s="76"/>
      <c r="G14" s="76"/>
      <c r="H14" s="76"/>
      <c r="I14" s="76">
        <v>0</v>
      </c>
      <c r="J14" s="77">
        <f t="shared" si="0"/>
        <v>16</v>
      </c>
      <c r="K14" s="26"/>
      <c r="L14" s="24">
        <v>0</v>
      </c>
      <c r="M14" s="14"/>
      <c r="N14" s="14"/>
      <c r="O14" s="14"/>
      <c r="P14" s="14">
        <v>0</v>
      </c>
      <c r="Q14" s="77">
        <f t="shared" si="1"/>
        <v>17</v>
      </c>
      <c r="R14" s="24">
        <v>0</v>
      </c>
      <c r="S14" s="14"/>
      <c r="T14" s="14"/>
      <c r="U14" s="14"/>
      <c r="V14" s="14">
        <v>0</v>
      </c>
      <c r="W14" s="77">
        <f t="shared" si="2"/>
        <v>17</v>
      </c>
      <c r="X14" s="37"/>
      <c r="Y14" s="38"/>
      <c r="AA14" s="75">
        <v>0</v>
      </c>
      <c r="AB14" s="76"/>
      <c r="AC14" s="76"/>
      <c r="AD14" s="76"/>
      <c r="AE14" s="76">
        <v>0</v>
      </c>
      <c r="AF14" s="77">
        <f t="shared" si="3"/>
        <v>17</v>
      </c>
      <c r="AG14" s="26"/>
      <c r="AH14" s="24">
        <v>0</v>
      </c>
      <c r="AI14" s="14"/>
      <c r="AJ14" s="14"/>
      <c r="AK14" s="14"/>
      <c r="AL14" s="14">
        <v>0</v>
      </c>
      <c r="AM14" s="77">
        <f t="shared" si="4"/>
        <v>17</v>
      </c>
      <c r="AN14" s="24">
        <v>0</v>
      </c>
      <c r="AO14" s="14"/>
      <c r="AP14" s="14"/>
      <c r="AQ14" s="14"/>
      <c r="AR14" s="14">
        <v>0</v>
      </c>
      <c r="AS14" s="77">
        <f t="shared" si="5"/>
        <v>17</v>
      </c>
      <c r="AT14" s="37"/>
      <c r="AU14" s="38"/>
    </row>
    <row r="15" spans="1:47" ht="18" customHeight="1">
      <c r="A15" s="65">
        <v>313</v>
      </c>
      <c r="B15" s="68" t="s">
        <v>17</v>
      </c>
      <c r="C15" s="33" t="s">
        <v>18</v>
      </c>
      <c r="D15" s="41"/>
      <c r="E15" s="75">
        <v>312181097</v>
      </c>
      <c r="F15" s="76">
        <v>1195802</v>
      </c>
      <c r="G15" s="76">
        <v>310985295</v>
      </c>
      <c r="H15" s="76">
        <v>823</v>
      </c>
      <c r="I15" s="76">
        <v>31489</v>
      </c>
      <c r="J15" s="77">
        <f t="shared" si="0"/>
        <v>12</v>
      </c>
      <c r="K15" s="26"/>
      <c r="L15" s="24">
        <v>321524754</v>
      </c>
      <c r="M15" s="14">
        <v>2502807</v>
      </c>
      <c r="N15" s="14">
        <v>319021947</v>
      </c>
      <c r="O15" s="14">
        <v>825</v>
      </c>
      <c r="P15" s="14">
        <v>32224</v>
      </c>
      <c r="Q15" s="77">
        <f t="shared" si="1"/>
        <v>14</v>
      </c>
      <c r="R15" s="24">
        <v>348072762.74000001</v>
      </c>
      <c r="S15" s="14">
        <v>2355726</v>
      </c>
      <c r="T15" s="14">
        <v>345717036.74000001</v>
      </c>
      <c r="U15" s="14">
        <v>812.04</v>
      </c>
      <c r="V15" s="14">
        <v>35478</v>
      </c>
      <c r="W15" s="77">
        <f t="shared" si="2"/>
        <v>15</v>
      </c>
      <c r="X15" s="37"/>
      <c r="Y15" s="38"/>
      <c r="AA15" s="75">
        <v>327730361</v>
      </c>
      <c r="AB15" s="76">
        <v>1195802</v>
      </c>
      <c r="AC15" s="76">
        <v>326534559</v>
      </c>
      <c r="AD15" s="76">
        <v>823</v>
      </c>
      <c r="AE15" s="76">
        <v>33063</v>
      </c>
      <c r="AF15" s="77">
        <f t="shared" si="3"/>
        <v>15</v>
      </c>
      <c r="AG15" s="26"/>
      <c r="AH15" s="24">
        <v>338649715</v>
      </c>
      <c r="AI15" s="14">
        <v>2955615</v>
      </c>
      <c r="AJ15" s="14">
        <v>335694100</v>
      </c>
      <c r="AK15" s="14">
        <v>833.88</v>
      </c>
      <c r="AL15" s="14">
        <v>33547</v>
      </c>
      <c r="AM15" s="77">
        <f t="shared" si="4"/>
        <v>15</v>
      </c>
      <c r="AN15" s="24">
        <v>371006472.29000002</v>
      </c>
      <c r="AO15" s="14">
        <v>2729872</v>
      </c>
      <c r="AP15" s="14">
        <v>368276600.29000002</v>
      </c>
      <c r="AQ15" s="14">
        <v>808.18</v>
      </c>
      <c r="AR15" s="14">
        <v>37974</v>
      </c>
      <c r="AS15" s="77">
        <f t="shared" si="5"/>
        <v>15</v>
      </c>
      <c r="AT15" s="37"/>
      <c r="AU15" s="38"/>
    </row>
    <row r="16" spans="1:47" ht="18" customHeight="1">
      <c r="A16" s="65">
        <v>314</v>
      </c>
      <c r="B16" s="68" t="s">
        <v>19</v>
      </c>
      <c r="C16" s="33" t="s">
        <v>20</v>
      </c>
      <c r="D16" s="41"/>
      <c r="E16" s="75">
        <v>365353746</v>
      </c>
      <c r="F16" s="76">
        <v>9470391</v>
      </c>
      <c r="G16" s="76">
        <v>355883355</v>
      </c>
      <c r="H16" s="76">
        <v>981.62</v>
      </c>
      <c r="I16" s="76">
        <v>30212</v>
      </c>
      <c r="J16" s="77">
        <f t="shared" si="0"/>
        <v>13</v>
      </c>
      <c r="K16" s="26"/>
      <c r="L16" s="24">
        <v>367827746</v>
      </c>
      <c r="M16" s="14">
        <v>10788791</v>
      </c>
      <c r="N16" s="14">
        <v>357038955</v>
      </c>
      <c r="O16" s="14">
        <v>985</v>
      </c>
      <c r="P16" s="14">
        <v>30206</v>
      </c>
      <c r="Q16" s="77">
        <f t="shared" si="1"/>
        <v>15</v>
      </c>
      <c r="R16" s="24">
        <v>368552315.94999999</v>
      </c>
      <c r="S16" s="14">
        <v>9483184.7799999993</v>
      </c>
      <c r="T16" s="14">
        <v>359069131.17000002</v>
      </c>
      <c r="U16" s="14">
        <v>898.80000000000007</v>
      </c>
      <c r="V16" s="14">
        <v>33292</v>
      </c>
      <c r="W16" s="77">
        <f t="shared" si="2"/>
        <v>16</v>
      </c>
      <c r="X16" s="37"/>
      <c r="Y16" s="38"/>
      <c r="AA16" s="75">
        <v>391556812</v>
      </c>
      <c r="AB16" s="76">
        <v>9470391</v>
      </c>
      <c r="AC16" s="76">
        <v>382086421</v>
      </c>
      <c r="AD16" s="76">
        <v>985.62</v>
      </c>
      <c r="AE16" s="76">
        <v>32305</v>
      </c>
      <c r="AF16" s="77">
        <f t="shared" si="3"/>
        <v>16</v>
      </c>
      <c r="AG16" s="26"/>
      <c r="AH16" s="24">
        <v>392693612</v>
      </c>
      <c r="AI16" s="14">
        <v>10607191</v>
      </c>
      <c r="AJ16" s="14">
        <v>382086421</v>
      </c>
      <c r="AK16" s="14">
        <v>985.62</v>
      </c>
      <c r="AL16" s="14">
        <v>32305</v>
      </c>
      <c r="AM16" s="77">
        <f t="shared" si="4"/>
        <v>16</v>
      </c>
      <c r="AN16" s="24">
        <v>391966726.72000003</v>
      </c>
      <c r="AO16" s="14">
        <v>8869631.7800000012</v>
      </c>
      <c r="AP16" s="14">
        <v>383097094.94</v>
      </c>
      <c r="AQ16" s="14">
        <v>877.85</v>
      </c>
      <c r="AR16" s="14">
        <v>36367</v>
      </c>
      <c r="AS16" s="77">
        <f t="shared" si="5"/>
        <v>16</v>
      </c>
      <c r="AT16" s="37"/>
      <c r="AU16" s="38"/>
    </row>
    <row r="17" spans="1:47" ht="18" customHeight="1">
      <c r="A17" s="65">
        <v>315</v>
      </c>
      <c r="B17" s="68" t="s">
        <v>21</v>
      </c>
      <c r="C17" s="33" t="s">
        <v>22</v>
      </c>
      <c r="D17" s="41"/>
      <c r="E17" s="75">
        <v>788667874</v>
      </c>
      <c r="F17" s="76">
        <v>21305069</v>
      </c>
      <c r="G17" s="76">
        <v>767362805</v>
      </c>
      <c r="H17" s="76">
        <v>1598.5</v>
      </c>
      <c r="I17" s="76">
        <v>40004</v>
      </c>
      <c r="J17" s="77">
        <f t="shared" si="0"/>
        <v>5</v>
      </c>
      <c r="K17" s="26"/>
      <c r="L17" s="24">
        <v>857233716</v>
      </c>
      <c r="M17" s="14">
        <v>35824434</v>
      </c>
      <c r="N17" s="14">
        <v>821409282</v>
      </c>
      <c r="O17" s="14">
        <v>1652</v>
      </c>
      <c r="P17" s="14">
        <v>41435</v>
      </c>
      <c r="Q17" s="77">
        <f t="shared" si="1"/>
        <v>8</v>
      </c>
      <c r="R17" s="24">
        <v>984444947.82000005</v>
      </c>
      <c r="S17" s="14">
        <v>41132866.82</v>
      </c>
      <c r="T17" s="14">
        <v>943312081</v>
      </c>
      <c r="U17" s="14">
        <v>1652.6000000000001</v>
      </c>
      <c r="V17" s="14">
        <v>47567</v>
      </c>
      <c r="W17" s="77">
        <f t="shared" si="2"/>
        <v>7</v>
      </c>
      <c r="X17" s="37"/>
      <c r="Y17" s="38"/>
      <c r="AA17" s="75">
        <v>871838509</v>
      </c>
      <c r="AB17" s="76">
        <v>24474985</v>
      </c>
      <c r="AC17" s="76">
        <v>847363524</v>
      </c>
      <c r="AD17" s="76">
        <v>1640.47</v>
      </c>
      <c r="AE17" s="76">
        <v>43045</v>
      </c>
      <c r="AF17" s="77">
        <f t="shared" si="3"/>
        <v>6</v>
      </c>
      <c r="AG17" s="26"/>
      <c r="AH17" s="24">
        <v>899746835</v>
      </c>
      <c r="AI17" s="14">
        <v>32167901</v>
      </c>
      <c r="AJ17" s="14">
        <v>867578934</v>
      </c>
      <c r="AK17" s="14">
        <v>1649.57</v>
      </c>
      <c r="AL17" s="14">
        <v>43829</v>
      </c>
      <c r="AM17" s="77">
        <f t="shared" si="4"/>
        <v>7</v>
      </c>
      <c r="AN17" s="24">
        <v>1070021794.51</v>
      </c>
      <c r="AO17" s="14">
        <v>39670215.769999996</v>
      </c>
      <c r="AP17" s="14">
        <v>1030351578.74</v>
      </c>
      <c r="AQ17" s="14">
        <v>1671.4499999999998</v>
      </c>
      <c r="AR17" s="14">
        <v>51370</v>
      </c>
      <c r="AS17" s="77">
        <f t="shared" si="5"/>
        <v>8</v>
      </c>
      <c r="AT17" s="37"/>
      <c r="AU17" s="38"/>
    </row>
    <row r="18" spans="1:47" ht="18" customHeight="1">
      <c r="A18" s="65">
        <v>317</v>
      </c>
      <c r="B18" s="68" t="s">
        <v>23</v>
      </c>
      <c r="C18" s="33" t="s">
        <v>24</v>
      </c>
      <c r="D18" s="41"/>
      <c r="E18" s="75">
        <v>383940107</v>
      </c>
      <c r="F18" s="76">
        <v>29299098</v>
      </c>
      <c r="G18" s="76">
        <v>354641009</v>
      </c>
      <c r="H18" s="76">
        <v>610</v>
      </c>
      <c r="I18" s="76">
        <v>48448</v>
      </c>
      <c r="J18" s="77">
        <f t="shared" si="0"/>
        <v>2</v>
      </c>
      <c r="K18" s="26"/>
      <c r="L18" s="24">
        <v>414298890</v>
      </c>
      <c r="M18" s="14">
        <v>29299098</v>
      </c>
      <c r="N18" s="14">
        <v>384999792</v>
      </c>
      <c r="O18" s="14">
        <v>640</v>
      </c>
      <c r="P18" s="14">
        <v>50130</v>
      </c>
      <c r="Q18" s="77">
        <f t="shared" si="1"/>
        <v>1</v>
      </c>
      <c r="R18" s="24">
        <v>388109047</v>
      </c>
      <c r="S18" s="14">
        <v>18179831</v>
      </c>
      <c r="T18" s="14">
        <v>369929216</v>
      </c>
      <c r="U18" s="14">
        <v>580.6</v>
      </c>
      <c r="V18" s="14">
        <v>53096</v>
      </c>
      <c r="W18" s="77">
        <f t="shared" si="2"/>
        <v>4</v>
      </c>
      <c r="X18" s="37"/>
      <c r="Y18" s="38"/>
      <c r="AA18" s="75">
        <v>421688558</v>
      </c>
      <c r="AB18" s="76">
        <v>30299098</v>
      </c>
      <c r="AC18" s="76">
        <v>391389460</v>
      </c>
      <c r="AD18" s="76">
        <v>632</v>
      </c>
      <c r="AE18" s="76">
        <v>51607</v>
      </c>
      <c r="AF18" s="77">
        <f t="shared" si="3"/>
        <v>3</v>
      </c>
      <c r="AG18" s="26"/>
      <c r="AH18" s="24">
        <v>430132498</v>
      </c>
      <c r="AI18" s="14">
        <v>30499098</v>
      </c>
      <c r="AJ18" s="14">
        <v>399633400</v>
      </c>
      <c r="AK18" s="14">
        <v>645</v>
      </c>
      <c r="AL18" s="14">
        <v>51632</v>
      </c>
      <c r="AM18" s="77">
        <f t="shared" si="4"/>
        <v>3</v>
      </c>
      <c r="AN18" s="24">
        <v>391354430</v>
      </c>
      <c r="AO18" s="14">
        <v>18427777</v>
      </c>
      <c r="AP18" s="14">
        <v>372926653</v>
      </c>
      <c r="AQ18" s="14">
        <v>550.26</v>
      </c>
      <c r="AR18" s="14">
        <v>56477</v>
      </c>
      <c r="AS18" s="77">
        <f t="shared" si="5"/>
        <v>3</v>
      </c>
      <c r="AT18" s="37"/>
      <c r="AU18" s="38"/>
    </row>
    <row r="19" spans="1:47" ht="18" customHeight="1">
      <c r="A19" s="65">
        <v>321</v>
      </c>
      <c r="B19" s="68" t="s">
        <v>25</v>
      </c>
      <c r="C19" s="33" t="s">
        <v>26</v>
      </c>
      <c r="D19" s="41"/>
      <c r="E19" s="75">
        <v>0</v>
      </c>
      <c r="F19" s="76"/>
      <c r="G19" s="76"/>
      <c r="H19" s="76"/>
      <c r="I19" s="76">
        <v>0</v>
      </c>
      <c r="J19" s="77">
        <f t="shared" si="0"/>
        <v>16</v>
      </c>
      <c r="K19" s="26"/>
      <c r="L19" s="24">
        <v>0</v>
      </c>
      <c r="M19" s="14"/>
      <c r="N19" s="14"/>
      <c r="O19" s="14"/>
      <c r="P19" s="14">
        <v>0</v>
      </c>
      <c r="Q19" s="77">
        <f t="shared" si="1"/>
        <v>17</v>
      </c>
      <c r="R19" s="24">
        <v>0</v>
      </c>
      <c r="S19" s="14"/>
      <c r="T19" s="14"/>
      <c r="U19" s="14"/>
      <c r="V19" s="14">
        <v>0</v>
      </c>
      <c r="W19" s="77">
        <f t="shared" si="2"/>
        <v>17</v>
      </c>
      <c r="X19" s="37"/>
      <c r="Y19" s="38"/>
      <c r="AA19" s="75">
        <v>0</v>
      </c>
      <c r="AB19" s="76"/>
      <c r="AC19" s="76"/>
      <c r="AD19" s="76"/>
      <c r="AE19" s="76">
        <v>0</v>
      </c>
      <c r="AF19" s="77">
        <f t="shared" si="3"/>
        <v>17</v>
      </c>
      <c r="AG19" s="26"/>
      <c r="AH19" s="24">
        <v>0</v>
      </c>
      <c r="AI19" s="14"/>
      <c r="AJ19" s="14"/>
      <c r="AK19" s="14"/>
      <c r="AL19" s="14">
        <v>0</v>
      </c>
      <c r="AM19" s="77">
        <f t="shared" si="4"/>
        <v>17</v>
      </c>
      <c r="AN19" s="24">
        <v>0</v>
      </c>
      <c r="AO19" s="14"/>
      <c r="AP19" s="14"/>
      <c r="AQ19" s="14"/>
      <c r="AR19" s="14">
        <v>0</v>
      </c>
      <c r="AS19" s="77">
        <f t="shared" si="5"/>
        <v>17</v>
      </c>
      <c r="AT19" s="37"/>
      <c r="AU19" s="38"/>
    </row>
    <row r="20" spans="1:47" ht="18" customHeight="1">
      <c r="A20" s="65">
        <v>322</v>
      </c>
      <c r="B20" s="68" t="s">
        <v>27</v>
      </c>
      <c r="C20" s="33" t="s">
        <v>28</v>
      </c>
      <c r="D20" s="41"/>
      <c r="E20" s="75">
        <v>296004231</v>
      </c>
      <c r="F20" s="76">
        <v>4950226</v>
      </c>
      <c r="G20" s="76">
        <v>291054005</v>
      </c>
      <c r="H20" s="76">
        <v>510.25</v>
      </c>
      <c r="I20" s="76">
        <v>47535</v>
      </c>
      <c r="J20" s="77">
        <f t="shared" si="0"/>
        <v>3</v>
      </c>
      <c r="K20" s="26"/>
      <c r="L20" s="24">
        <v>312011325</v>
      </c>
      <c r="M20" s="14">
        <v>29772870</v>
      </c>
      <c r="N20" s="14">
        <v>282238455</v>
      </c>
      <c r="O20" s="14">
        <v>503.04</v>
      </c>
      <c r="P20" s="14">
        <v>46755</v>
      </c>
      <c r="Q20" s="77">
        <f t="shared" si="1"/>
        <v>6</v>
      </c>
      <c r="R20" s="24">
        <v>311343786</v>
      </c>
      <c r="S20" s="14">
        <v>19955812</v>
      </c>
      <c r="T20" s="14">
        <v>291387974</v>
      </c>
      <c r="U20" s="14">
        <v>467.27</v>
      </c>
      <c r="V20" s="14">
        <v>51966</v>
      </c>
      <c r="W20" s="77">
        <f t="shared" si="2"/>
        <v>5</v>
      </c>
      <c r="X20" s="37"/>
      <c r="Y20" s="38"/>
      <c r="AA20" s="75">
        <v>326844112</v>
      </c>
      <c r="AB20" s="76">
        <v>35405451</v>
      </c>
      <c r="AC20" s="76">
        <v>291438661</v>
      </c>
      <c r="AD20" s="76">
        <v>499.84999999999997</v>
      </c>
      <c r="AE20" s="76">
        <v>48588</v>
      </c>
      <c r="AF20" s="77">
        <f t="shared" si="3"/>
        <v>4</v>
      </c>
      <c r="AG20" s="26"/>
      <c r="AH20" s="24">
        <v>342106638</v>
      </c>
      <c r="AI20" s="14">
        <v>40305451</v>
      </c>
      <c r="AJ20" s="14">
        <v>301801187</v>
      </c>
      <c r="AK20" s="14">
        <v>523.32999999999993</v>
      </c>
      <c r="AL20" s="14">
        <v>48058</v>
      </c>
      <c r="AM20" s="77">
        <f t="shared" si="4"/>
        <v>4</v>
      </c>
      <c r="AN20" s="24">
        <v>329747647</v>
      </c>
      <c r="AO20" s="14">
        <v>22557253</v>
      </c>
      <c r="AP20" s="14">
        <v>307190394</v>
      </c>
      <c r="AQ20" s="14">
        <v>483.61</v>
      </c>
      <c r="AR20" s="14">
        <v>52934</v>
      </c>
      <c r="AS20" s="77">
        <f t="shared" si="5"/>
        <v>6</v>
      </c>
      <c r="AT20" s="37"/>
      <c r="AU20" s="38"/>
    </row>
    <row r="21" spans="1:47" ht="18" customHeight="1">
      <c r="A21" s="65">
        <v>327</v>
      </c>
      <c r="B21" s="68" t="s">
        <v>29</v>
      </c>
      <c r="C21" s="33" t="s">
        <v>30</v>
      </c>
      <c r="D21" s="41"/>
      <c r="E21" s="75">
        <v>33902047</v>
      </c>
      <c r="F21" s="76">
        <v>1432579</v>
      </c>
      <c r="G21" s="76">
        <v>32469468</v>
      </c>
      <c r="H21" s="76">
        <v>80</v>
      </c>
      <c r="I21" s="76">
        <v>33822</v>
      </c>
      <c r="J21" s="77">
        <f t="shared" si="0"/>
        <v>11</v>
      </c>
      <c r="K21" s="26"/>
      <c r="L21" s="24">
        <v>33902047</v>
      </c>
      <c r="M21" s="14">
        <v>1432579</v>
      </c>
      <c r="N21" s="14">
        <v>32469468</v>
      </c>
      <c r="O21" s="14">
        <v>80</v>
      </c>
      <c r="P21" s="14">
        <v>33822</v>
      </c>
      <c r="Q21" s="77">
        <f t="shared" si="1"/>
        <v>13</v>
      </c>
      <c r="R21" s="24">
        <v>42159279</v>
      </c>
      <c r="S21" s="14">
        <v>618116</v>
      </c>
      <c r="T21" s="14">
        <v>41541163</v>
      </c>
      <c r="U21" s="14">
        <v>73.41</v>
      </c>
      <c r="V21" s="14">
        <v>47157</v>
      </c>
      <c r="W21" s="77">
        <f t="shared" si="2"/>
        <v>8</v>
      </c>
      <c r="X21" s="37"/>
      <c r="Y21" s="38"/>
      <c r="AA21" s="75">
        <v>35525520</v>
      </c>
      <c r="AB21" s="76">
        <v>1432579</v>
      </c>
      <c r="AC21" s="76">
        <v>34092941</v>
      </c>
      <c r="AD21" s="76">
        <v>80</v>
      </c>
      <c r="AE21" s="76">
        <v>35513</v>
      </c>
      <c r="AF21" s="77">
        <f t="shared" si="3"/>
        <v>14</v>
      </c>
      <c r="AG21" s="26"/>
      <c r="AH21" s="24">
        <v>18479050</v>
      </c>
      <c r="AI21" s="14">
        <v>1432579</v>
      </c>
      <c r="AJ21" s="14">
        <v>17046471</v>
      </c>
      <c r="AK21" s="14">
        <v>40</v>
      </c>
      <c r="AL21" s="14">
        <v>35513</v>
      </c>
      <c r="AM21" s="77">
        <f t="shared" si="4"/>
        <v>14</v>
      </c>
      <c r="AN21" s="24">
        <v>21000472</v>
      </c>
      <c r="AO21" s="14">
        <v>1537413</v>
      </c>
      <c r="AP21" s="14">
        <v>19463059</v>
      </c>
      <c r="AQ21" s="14">
        <v>31.08</v>
      </c>
      <c r="AR21" s="14">
        <v>52185</v>
      </c>
      <c r="AS21" s="77">
        <f t="shared" si="5"/>
        <v>7</v>
      </c>
      <c r="AT21" s="37"/>
      <c r="AU21" s="38"/>
    </row>
    <row r="22" spans="1:47" ht="18" customHeight="1">
      <c r="A22" s="65">
        <v>328</v>
      </c>
      <c r="B22" s="68" t="s">
        <v>87</v>
      </c>
      <c r="C22" s="33" t="s">
        <v>85</v>
      </c>
      <c r="D22" s="41"/>
      <c r="E22" s="75">
        <v>0</v>
      </c>
      <c r="F22" s="76"/>
      <c r="G22" s="76"/>
      <c r="H22" s="76"/>
      <c r="I22" s="76">
        <v>0</v>
      </c>
      <c r="J22" s="77">
        <f t="shared" si="0"/>
        <v>16</v>
      </c>
      <c r="K22" s="26"/>
      <c r="L22" s="24">
        <v>0</v>
      </c>
      <c r="M22" s="14"/>
      <c r="N22" s="14"/>
      <c r="O22" s="14"/>
      <c r="P22" s="14">
        <v>0</v>
      </c>
      <c r="Q22" s="77">
        <f t="shared" si="1"/>
        <v>17</v>
      </c>
      <c r="R22" s="24">
        <v>0</v>
      </c>
      <c r="S22" s="14"/>
      <c r="T22" s="14"/>
      <c r="U22" s="14"/>
      <c r="V22" s="14">
        <v>0</v>
      </c>
      <c r="W22" s="77">
        <f t="shared" si="2"/>
        <v>17</v>
      </c>
      <c r="X22" s="37"/>
      <c r="Y22" s="38"/>
      <c r="AA22" s="75">
        <v>0</v>
      </c>
      <c r="AB22" s="76"/>
      <c r="AC22" s="76"/>
      <c r="AD22" s="76"/>
      <c r="AE22" s="76">
        <v>0</v>
      </c>
      <c r="AF22" s="77">
        <f t="shared" si="3"/>
        <v>17</v>
      </c>
      <c r="AG22" s="26"/>
      <c r="AH22" s="24">
        <v>0</v>
      </c>
      <c r="AI22" s="14"/>
      <c r="AJ22" s="14"/>
      <c r="AK22" s="14"/>
      <c r="AL22" s="14">
        <v>0</v>
      </c>
      <c r="AM22" s="77">
        <f t="shared" si="4"/>
        <v>17</v>
      </c>
      <c r="AN22" s="24">
        <v>0</v>
      </c>
      <c r="AO22" s="14"/>
      <c r="AP22" s="14"/>
      <c r="AQ22" s="14"/>
      <c r="AR22" s="14">
        <v>0</v>
      </c>
      <c r="AS22" s="77">
        <f t="shared" si="5"/>
        <v>17</v>
      </c>
      <c r="AT22" s="37"/>
      <c r="AU22" s="38"/>
    </row>
    <row r="23" spans="1:47" ht="18" customHeight="1">
      <c r="A23" s="65">
        <v>329</v>
      </c>
      <c r="B23" s="68" t="s">
        <v>31</v>
      </c>
      <c r="C23" s="33" t="s">
        <v>32</v>
      </c>
      <c r="D23" s="41"/>
      <c r="E23" s="75">
        <v>260948807</v>
      </c>
      <c r="F23" s="76">
        <v>9255896</v>
      </c>
      <c r="G23" s="76">
        <v>251692911</v>
      </c>
      <c r="H23" s="76">
        <v>541</v>
      </c>
      <c r="I23" s="76">
        <v>38770</v>
      </c>
      <c r="J23" s="77">
        <f t="shared" si="0"/>
        <v>6</v>
      </c>
      <c r="K23" s="26"/>
      <c r="L23" s="24">
        <v>273043191</v>
      </c>
      <c r="M23" s="14">
        <v>10756896</v>
      </c>
      <c r="N23" s="14">
        <v>262286295</v>
      </c>
      <c r="O23" s="14">
        <v>541</v>
      </c>
      <c r="P23" s="14">
        <v>40401</v>
      </c>
      <c r="Q23" s="77">
        <f t="shared" si="1"/>
        <v>9</v>
      </c>
      <c r="R23" s="24">
        <v>282688370</v>
      </c>
      <c r="S23" s="14">
        <v>11329850.780000001</v>
      </c>
      <c r="T23" s="14">
        <v>271358519.22000003</v>
      </c>
      <c r="U23" s="14">
        <v>510.93999999999994</v>
      </c>
      <c r="V23" s="14">
        <v>44258</v>
      </c>
      <c r="W23" s="77">
        <f t="shared" si="2"/>
        <v>11</v>
      </c>
      <c r="X23" s="37"/>
      <c r="Y23" s="38"/>
      <c r="AA23" s="75">
        <v>284419632</v>
      </c>
      <c r="AB23" s="76">
        <v>9444057</v>
      </c>
      <c r="AC23" s="76">
        <v>274975575</v>
      </c>
      <c r="AD23" s="76">
        <v>540.6</v>
      </c>
      <c r="AE23" s="76">
        <v>42387</v>
      </c>
      <c r="AF23" s="77">
        <f t="shared" si="3"/>
        <v>7</v>
      </c>
      <c r="AG23" s="26"/>
      <c r="AH23" s="24">
        <v>284979032</v>
      </c>
      <c r="AI23" s="14">
        <v>10138457</v>
      </c>
      <c r="AJ23" s="14">
        <v>274840575</v>
      </c>
      <c r="AK23" s="14">
        <v>540.6</v>
      </c>
      <c r="AL23" s="14">
        <v>42367</v>
      </c>
      <c r="AM23" s="77">
        <f t="shared" si="4"/>
        <v>9</v>
      </c>
      <c r="AN23" s="24">
        <v>297079501.96999997</v>
      </c>
      <c r="AO23" s="14">
        <v>11884303.58</v>
      </c>
      <c r="AP23" s="14">
        <v>285195198.38999999</v>
      </c>
      <c r="AQ23" s="14">
        <v>513.20999999999992</v>
      </c>
      <c r="AR23" s="14">
        <v>46309</v>
      </c>
      <c r="AS23" s="77">
        <f t="shared" si="5"/>
        <v>11</v>
      </c>
      <c r="AT23" s="37"/>
      <c r="AU23" s="38"/>
    </row>
    <row r="24" spans="1:47" ht="18" customHeight="1">
      <c r="A24" s="65">
        <v>333</v>
      </c>
      <c r="B24" s="68" t="s">
        <v>33</v>
      </c>
      <c r="C24" s="33" t="s">
        <v>34</v>
      </c>
      <c r="D24" s="41"/>
      <c r="E24" s="75">
        <v>137832975431</v>
      </c>
      <c r="F24" s="76">
        <v>1112367098</v>
      </c>
      <c r="G24" s="76">
        <v>136720608333</v>
      </c>
      <c r="H24" s="76">
        <v>261999.89</v>
      </c>
      <c r="I24" s="76">
        <v>43486</v>
      </c>
      <c r="J24" s="77">
        <f t="shared" si="0"/>
        <v>4</v>
      </c>
      <c r="K24" s="26"/>
      <c r="L24" s="24">
        <v>140791736006</v>
      </c>
      <c r="M24" s="14">
        <v>1401947045</v>
      </c>
      <c r="N24" s="14">
        <v>139389788961</v>
      </c>
      <c r="O24" s="14">
        <v>271499.12</v>
      </c>
      <c r="P24" s="14">
        <v>42784</v>
      </c>
      <c r="Q24" s="77">
        <f t="shared" si="1"/>
        <v>7</v>
      </c>
      <c r="R24" s="24">
        <v>146331644565.5</v>
      </c>
      <c r="S24" s="14">
        <v>3084384671</v>
      </c>
      <c r="T24" s="14">
        <v>143247259894.5</v>
      </c>
      <c r="U24" s="14">
        <v>277708.48000000004</v>
      </c>
      <c r="V24" s="14">
        <v>42985</v>
      </c>
      <c r="W24" s="77">
        <f t="shared" si="2"/>
        <v>12</v>
      </c>
      <c r="X24" s="37"/>
      <c r="Y24" s="38"/>
      <c r="AA24" s="75">
        <v>147288554757</v>
      </c>
      <c r="AB24" s="76">
        <v>1288474901</v>
      </c>
      <c r="AC24" s="76">
        <v>146000079856</v>
      </c>
      <c r="AD24" s="76">
        <v>262730.98</v>
      </c>
      <c r="AE24" s="76">
        <v>46308</v>
      </c>
      <c r="AF24" s="77">
        <f t="shared" si="3"/>
        <v>5</v>
      </c>
      <c r="AG24" s="26"/>
      <c r="AH24" s="24">
        <v>151519139982</v>
      </c>
      <c r="AI24" s="14">
        <v>1426953301</v>
      </c>
      <c r="AJ24" s="14">
        <v>150092186681</v>
      </c>
      <c r="AK24" s="14">
        <v>274395.35000000003</v>
      </c>
      <c r="AL24" s="14">
        <v>45583</v>
      </c>
      <c r="AM24" s="77">
        <f t="shared" si="4"/>
        <v>6</v>
      </c>
      <c r="AN24" s="24">
        <v>157074731302</v>
      </c>
      <c r="AO24" s="14">
        <v>3157204398</v>
      </c>
      <c r="AP24" s="14">
        <v>153917526904</v>
      </c>
      <c r="AQ24" s="14">
        <v>281505.26</v>
      </c>
      <c r="AR24" s="14">
        <v>45564</v>
      </c>
      <c r="AS24" s="77">
        <f t="shared" si="5"/>
        <v>12</v>
      </c>
      <c r="AT24" s="37"/>
      <c r="AU24" s="38"/>
    </row>
    <row r="25" spans="1:47" ht="18" customHeight="1">
      <c r="A25" s="65">
        <v>334</v>
      </c>
      <c r="B25" s="68" t="s">
        <v>35</v>
      </c>
      <c r="C25" s="33" t="s">
        <v>36</v>
      </c>
      <c r="D25" s="41"/>
      <c r="E25" s="75">
        <v>3129387655</v>
      </c>
      <c r="F25" s="76">
        <v>126730625</v>
      </c>
      <c r="G25" s="76">
        <v>3002657030</v>
      </c>
      <c r="H25" s="76">
        <v>6554.6</v>
      </c>
      <c r="I25" s="76">
        <v>38175</v>
      </c>
      <c r="J25" s="77">
        <f t="shared" si="0"/>
        <v>7</v>
      </c>
      <c r="K25" s="26"/>
      <c r="L25" s="24">
        <v>3287301040</v>
      </c>
      <c r="M25" s="14">
        <v>133604675</v>
      </c>
      <c r="N25" s="14">
        <v>3153696365</v>
      </c>
      <c r="O25" s="14">
        <v>6554.6</v>
      </c>
      <c r="P25" s="14">
        <v>40095</v>
      </c>
      <c r="Q25" s="77">
        <f t="shared" si="1"/>
        <v>10</v>
      </c>
      <c r="R25" s="24">
        <v>3389763804.5599999</v>
      </c>
      <c r="S25" s="14">
        <v>163591964</v>
      </c>
      <c r="T25" s="14">
        <v>3226171840.5599999</v>
      </c>
      <c r="U25" s="14">
        <v>6387.8599999999988</v>
      </c>
      <c r="V25" s="14">
        <v>42087</v>
      </c>
      <c r="W25" s="77">
        <f t="shared" si="2"/>
        <v>13</v>
      </c>
      <c r="X25" s="37"/>
      <c r="Y25" s="38"/>
      <c r="AA25" s="75">
        <v>3288302856</v>
      </c>
      <c r="AB25" s="76">
        <v>98170762</v>
      </c>
      <c r="AC25" s="76">
        <v>3190132094</v>
      </c>
      <c r="AD25" s="76">
        <v>6659.13</v>
      </c>
      <c r="AE25" s="76">
        <v>39922</v>
      </c>
      <c r="AF25" s="77">
        <f t="shared" si="3"/>
        <v>9</v>
      </c>
      <c r="AG25" s="26"/>
      <c r="AH25" s="24">
        <v>3432646045</v>
      </c>
      <c r="AI25" s="14">
        <v>110322912</v>
      </c>
      <c r="AJ25" s="14">
        <v>3322323133</v>
      </c>
      <c r="AK25" s="14">
        <v>6660.01</v>
      </c>
      <c r="AL25" s="14">
        <v>41571</v>
      </c>
      <c r="AM25" s="77">
        <f t="shared" si="4"/>
        <v>10</v>
      </c>
      <c r="AN25" s="24">
        <v>3523300348</v>
      </c>
      <c r="AO25" s="14">
        <v>170670792</v>
      </c>
      <c r="AP25" s="14">
        <v>3352629556</v>
      </c>
      <c r="AQ25" s="14">
        <v>6360.76</v>
      </c>
      <c r="AR25" s="14">
        <v>43923</v>
      </c>
      <c r="AS25" s="77">
        <f t="shared" si="5"/>
        <v>13</v>
      </c>
      <c r="AT25" s="37"/>
      <c r="AU25" s="38"/>
    </row>
    <row r="26" spans="1:47" ht="18" customHeight="1">
      <c r="A26" s="65">
        <v>335</v>
      </c>
      <c r="B26" s="68" t="s">
        <v>37</v>
      </c>
      <c r="C26" s="33" t="s">
        <v>38</v>
      </c>
      <c r="D26" s="41"/>
      <c r="E26" s="75">
        <v>186743845</v>
      </c>
      <c r="F26" s="76">
        <v>427125</v>
      </c>
      <c r="G26" s="76">
        <v>186316720</v>
      </c>
      <c r="H26" s="76">
        <v>448</v>
      </c>
      <c r="I26" s="76">
        <v>34657</v>
      </c>
      <c r="J26" s="77">
        <f t="shared" si="0"/>
        <v>9</v>
      </c>
      <c r="K26" s="26"/>
      <c r="L26" s="24">
        <v>290844717</v>
      </c>
      <c r="M26" s="14">
        <v>17447525</v>
      </c>
      <c r="N26" s="14">
        <v>273397192</v>
      </c>
      <c r="O26" s="14">
        <v>478</v>
      </c>
      <c r="P26" s="14">
        <v>47663</v>
      </c>
      <c r="Q26" s="77">
        <f t="shared" si="1"/>
        <v>5</v>
      </c>
      <c r="R26" s="24">
        <v>281131576</v>
      </c>
      <c r="S26" s="14">
        <v>15214655</v>
      </c>
      <c r="T26" s="14">
        <v>265916921</v>
      </c>
      <c r="U26" s="14">
        <v>477.11</v>
      </c>
      <c r="V26" s="14">
        <v>46446</v>
      </c>
      <c r="W26" s="77">
        <f t="shared" si="2"/>
        <v>9</v>
      </c>
      <c r="X26" s="37"/>
      <c r="Y26" s="38"/>
      <c r="AA26" s="75">
        <v>230961374</v>
      </c>
      <c r="AB26" s="76">
        <v>3427125</v>
      </c>
      <c r="AC26" s="76">
        <v>227534249</v>
      </c>
      <c r="AD26" s="76">
        <v>463</v>
      </c>
      <c r="AE26" s="76">
        <v>40953</v>
      </c>
      <c r="AF26" s="77">
        <f t="shared" si="3"/>
        <v>8</v>
      </c>
      <c r="AG26" s="26"/>
      <c r="AH26" s="24">
        <v>261004678</v>
      </c>
      <c r="AI26" s="14">
        <v>8265210</v>
      </c>
      <c r="AJ26" s="14">
        <v>252739468</v>
      </c>
      <c r="AK26" s="14">
        <v>482.7</v>
      </c>
      <c r="AL26" s="14">
        <v>43633</v>
      </c>
      <c r="AM26" s="77">
        <f t="shared" si="4"/>
        <v>8</v>
      </c>
      <c r="AN26" s="24">
        <v>285493992</v>
      </c>
      <c r="AO26" s="14">
        <v>9104572</v>
      </c>
      <c r="AP26" s="14">
        <v>276389420</v>
      </c>
      <c r="AQ26" s="14">
        <v>460.55</v>
      </c>
      <c r="AR26" s="14">
        <v>50011</v>
      </c>
      <c r="AS26" s="77">
        <f t="shared" si="5"/>
        <v>9</v>
      </c>
      <c r="AT26" s="37"/>
      <c r="AU26" s="38"/>
    </row>
    <row r="27" spans="1:47" ht="18" customHeight="1">
      <c r="A27" s="65">
        <v>336</v>
      </c>
      <c r="B27" s="68" t="s">
        <v>39</v>
      </c>
      <c r="C27" s="33" t="s">
        <v>40</v>
      </c>
      <c r="D27" s="41"/>
      <c r="E27" s="75">
        <v>16295445</v>
      </c>
      <c r="F27" s="76">
        <v>273713</v>
      </c>
      <c r="G27" s="76">
        <v>16021732</v>
      </c>
      <c r="H27" s="76">
        <v>50</v>
      </c>
      <c r="I27" s="76">
        <v>26703</v>
      </c>
      <c r="J27" s="77">
        <f t="shared" si="0"/>
        <v>15</v>
      </c>
      <c r="K27" s="26"/>
      <c r="L27" s="24">
        <v>157181117</v>
      </c>
      <c r="M27" s="14">
        <v>14273713</v>
      </c>
      <c r="N27" s="14">
        <v>142907404</v>
      </c>
      <c r="O27" s="14">
        <v>239</v>
      </c>
      <c r="P27" s="14">
        <v>49828</v>
      </c>
      <c r="Q27" s="77">
        <f t="shared" si="1"/>
        <v>3</v>
      </c>
      <c r="R27" s="24">
        <v>158699611</v>
      </c>
      <c r="S27" s="14">
        <v>15009513</v>
      </c>
      <c r="T27" s="14">
        <v>143690098</v>
      </c>
      <c r="U27" s="14">
        <v>191.98</v>
      </c>
      <c r="V27" s="14">
        <v>62372</v>
      </c>
      <c r="W27" s="77">
        <f t="shared" si="2"/>
        <v>2</v>
      </c>
      <c r="X27" s="37"/>
      <c r="Y27" s="38"/>
      <c r="AA27" s="75">
        <v>126757028</v>
      </c>
      <c r="AB27" s="76">
        <v>273713</v>
      </c>
      <c r="AC27" s="76">
        <v>126483315</v>
      </c>
      <c r="AD27" s="76">
        <v>268</v>
      </c>
      <c r="AE27" s="76">
        <v>39329</v>
      </c>
      <c r="AF27" s="77">
        <f t="shared" si="3"/>
        <v>12</v>
      </c>
      <c r="AG27" s="26"/>
      <c r="AH27" s="24">
        <v>307766221</v>
      </c>
      <c r="AI27" s="14">
        <v>30843713</v>
      </c>
      <c r="AJ27" s="14">
        <v>276922508</v>
      </c>
      <c r="AK27" s="14">
        <v>500.51</v>
      </c>
      <c r="AL27" s="14">
        <v>46107</v>
      </c>
      <c r="AM27" s="77">
        <f t="shared" si="4"/>
        <v>5</v>
      </c>
      <c r="AN27" s="24">
        <v>426239233.25</v>
      </c>
      <c r="AO27" s="14">
        <v>51230802.25</v>
      </c>
      <c r="AP27" s="14">
        <v>375008431</v>
      </c>
      <c r="AQ27" s="14">
        <v>464.78</v>
      </c>
      <c r="AR27" s="14">
        <v>67238</v>
      </c>
      <c r="AS27" s="77">
        <f t="shared" si="5"/>
        <v>1</v>
      </c>
      <c r="AT27" s="37"/>
      <c r="AU27" s="38"/>
    </row>
    <row r="28" spans="1:47" ht="18" customHeight="1">
      <c r="A28" s="65">
        <v>343</v>
      </c>
      <c r="B28" s="68" t="s">
        <v>83</v>
      </c>
      <c r="C28" s="33" t="s">
        <v>92</v>
      </c>
      <c r="D28" s="41"/>
      <c r="E28" s="75">
        <v>0</v>
      </c>
      <c r="F28" s="295"/>
      <c r="G28" s="295"/>
      <c r="H28" s="76"/>
      <c r="I28" s="76">
        <v>0</v>
      </c>
      <c r="J28" s="77">
        <f t="shared" si="0"/>
        <v>16</v>
      </c>
      <c r="K28" s="26"/>
      <c r="L28" s="24">
        <v>0</v>
      </c>
      <c r="M28" s="297"/>
      <c r="N28" s="297"/>
      <c r="O28" s="14"/>
      <c r="P28" s="14">
        <v>0</v>
      </c>
      <c r="Q28" s="77">
        <f t="shared" si="1"/>
        <v>17</v>
      </c>
      <c r="R28" s="24">
        <v>0</v>
      </c>
      <c r="S28" s="297"/>
      <c r="T28" s="297"/>
      <c r="U28" s="14"/>
      <c r="V28" s="14">
        <v>0</v>
      </c>
      <c r="W28" s="77">
        <f t="shared" si="2"/>
        <v>17</v>
      </c>
      <c r="X28" s="37"/>
      <c r="Y28" s="38"/>
      <c r="AA28" s="75">
        <v>0</v>
      </c>
      <c r="AB28" s="295"/>
      <c r="AC28" s="295"/>
      <c r="AD28" s="76"/>
      <c r="AE28" s="76">
        <v>0</v>
      </c>
      <c r="AF28" s="77">
        <f t="shared" si="3"/>
        <v>17</v>
      </c>
      <c r="AG28" s="26"/>
      <c r="AH28" s="24">
        <v>0</v>
      </c>
      <c r="AI28" s="297"/>
      <c r="AJ28" s="297"/>
      <c r="AK28" s="14"/>
      <c r="AL28" s="14">
        <v>0</v>
      </c>
      <c r="AM28" s="77">
        <f t="shared" si="4"/>
        <v>17</v>
      </c>
      <c r="AN28" s="24">
        <v>0</v>
      </c>
      <c r="AO28" s="297"/>
      <c r="AP28" s="297"/>
      <c r="AQ28" s="14"/>
      <c r="AR28" s="14">
        <v>0</v>
      </c>
      <c r="AS28" s="77">
        <f t="shared" si="5"/>
        <v>17</v>
      </c>
      <c r="AT28" s="37"/>
      <c r="AU28" s="38"/>
    </row>
    <row r="29" spans="1:47" ht="18" customHeight="1">
      <c r="A29" s="65">
        <v>344</v>
      </c>
      <c r="B29" s="68" t="s">
        <v>41</v>
      </c>
      <c r="C29" s="33" t="s">
        <v>42</v>
      </c>
      <c r="D29" s="41"/>
      <c r="E29" s="75">
        <v>0</v>
      </c>
      <c r="F29" s="76"/>
      <c r="G29" s="76"/>
      <c r="H29" s="76"/>
      <c r="I29" s="76">
        <v>0</v>
      </c>
      <c r="J29" s="77">
        <f t="shared" si="0"/>
        <v>16</v>
      </c>
      <c r="K29" s="26"/>
      <c r="L29" s="24">
        <v>0</v>
      </c>
      <c r="M29" s="14"/>
      <c r="N29" s="14"/>
      <c r="O29" s="14"/>
      <c r="P29" s="14">
        <v>0</v>
      </c>
      <c r="Q29" s="77">
        <f t="shared" si="1"/>
        <v>17</v>
      </c>
      <c r="R29" s="24">
        <v>0</v>
      </c>
      <c r="S29" s="14"/>
      <c r="T29" s="14"/>
      <c r="U29" s="14"/>
      <c r="V29" s="14">
        <v>0</v>
      </c>
      <c r="W29" s="77">
        <f t="shared" si="2"/>
        <v>17</v>
      </c>
      <c r="X29" s="37"/>
      <c r="Y29" s="38"/>
      <c r="AA29" s="75">
        <v>0</v>
      </c>
      <c r="AB29" s="76"/>
      <c r="AC29" s="76"/>
      <c r="AD29" s="76"/>
      <c r="AE29" s="76">
        <v>0</v>
      </c>
      <c r="AF29" s="77">
        <f t="shared" si="3"/>
        <v>17</v>
      </c>
      <c r="AG29" s="26"/>
      <c r="AH29" s="24">
        <v>0</v>
      </c>
      <c r="AI29" s="14"/>
      <c r="AJ29" s="14"/>
      <c r="AK29" s="14"/>
      <c r="AL29" s="14">
        <v>0</v>
      </c>
      <c r="AM29" s="77">
        <f t="shared" si="4"/>
        <v>17</v>
      </c>
      <c r="AN29" s="24">
        <v>0</v>
      </c>
      <c r="AO29" s="14"/>
      <c r="AP29" s="14"/>
      <c r="AQ29" s="14"/>
      <c r="AR29" s="14">
        <v>0</v>
      </c>
      <c r="AS29" s="77">
        <f t="shared" si="5"/>
        <v>17</v>
      </c>
      <c r="AT29" s="37"/>
      <c r="AU29" s="38"/>
    </row>
    <row r="30" spans="1:47" ht="18" customHeight="1">
      <c r="A30" s="65">
        <v>345</v>
      </c>
      <c r="B30" s="68" t="s">
        <v>43</v>
      </c>
      <c r="C30" s="33" t="s">
        <v>44</v>
      </c>
      <c r="D30" s="41"/>
      <c r="E30" s="75">
        <v>0</v>
      </c>
      <c r="F30" s="76"/>
      <c r="G30" s="76"/>
      <c r="H30" s="76"/>
      <c r="I30" s="76">
        <v>0</v>
      </c>
      <c r="J30" s="77">
        <f t="shared" si="0"/>
        <v>16</v>
      </c>
      <c r="K30" s="26"/>
      <c r="L30" s="24">
        <v>0</v>
      </c>
      <c r="M30" s="14"/>
      <c r="N30" s="14"/>
      <c r="O30" s="14"/>
      <c r="P30" s="14">
        <v>0</v>
      </c>
      <c r="Q30" s="77">
        <f t="shared" si="1"/>
        <v>17</v>
      </c>
      <c r="R30" s="24">
        <v>0</v>
      </c>
      <c r="S30" s="14"/>
      <c r="T30" s="14"/>
      <c r="U30" s="14"/>
      <c r="V30" s="14">
        <v>0</v>
      </c>
      <c r="W30" s="77">
        <f t="shared" si="2"/>
        <v>17</v>
      </c>
      <c r="X30" s="37"/>
      <c r="Y30" s="38"/>
      <c r="AA30" s="75">
        <v>0</v>
      </c>
      <c r="AB30" s="76"/>
      <c r="AC30" s="76"/>
      <c r="AD30" s="76"/>
      <c r="AE30" s="76">
        <v>0</v>
      </c>
      <c r="AF30" s="77">
        <f t="shared" si="3"/>
        <v>17</v>
      </c>
      <c r="AG30" s="26"/>
      <c r="AH30" s="24">
        <v>0</v>
      </c>
      <c r="AI30" s="14"/>
      <c r="AJ30" s="14"/>
      <c r="AK30" s="14"/>
      <c r="AL30" s="14">
        <v>0</v>
      </c>
      <c r="AM30" s="77">
        <f t="shared" si="4"/>
        <v>17</v>
      </c>
      <c r="AN30" s="24">
        <v>0</v>
      </c>
      <c r="AO30" s="14"/>
      <c r="AP30" s="14"/>
      <c r="AQ30" s="14"/>
      <c r="AR30" s="14">
        <v>0</v>
      </c>
      <c r="AS30" s="77">
        <f t="shared" si="5"/>
        <v>17</v>
      </c>
      <c r="AT30" s="37"/>
      <c r="AU30" s="38"/>
    </row>
    <row r="31" spans="1:47" ht="18" customHeight="1">
      <c r="A31" s="65">
        <v>346</v>
      </c>
      <c r="B31" s="68" t="s">
        <v>45</v>
      </c>
      <c r="C31" s="33" t="s">
        <v>46</v>
      </c>
      <c r="D31" s="41"/>
      <c r="E31" s="75">
        <v>0</v>
      </c>
      <c r="F31" s="76"/>
      <c r="G31" s="76"/>
      <c r="H31" s="76"/>
      <c r="I31" s="76">
        <v>0</v>
      </c>
      <c r="J31" s="77">
        <f t="shared" si="0"/>
        <v>16</v>
      </c>
      <c r="K31" s="26"/>
      <c r="L31" s="24">
        <v>0</v>
      </c>
      <c r="M31" s="14"/>
      <c r="N31" s="14"/>
      <c r="O31" s="14"/>
      <c r="P31" s="14">
        <v>0</v>
      </c>
      <c r="Q31" s="77">
        <f t="shared" si="1"/>
        <v>17</v>
      </c>
      <c r="R31" s="24">
        <v>0</v>
      </c>
      <c r="S31" s="14"/>
      <c r="T31" s="14"/>
      <c r="U31" s="14"/>
      <c r="V31" s="14">
        <v>0</v>
      </c>
      <c r="W31" s="77">
        <f t="shared" si="2"/>
        <v>17</v>
      </c>
      <c r="X31" s="37"/>
      <c r="Y31" s="38"/>
      <c r="AA31" s="75">
        <v>0</v>
      </c>
      <c r="AB31" s="76"/>
      <c r="AC31" s="76"/>
      <c r="AD31" s="76"/>
      <c r="AE31" s="76">
        <v>0</v>
      </c>
      <c r="AF31" s="77">
        <f t="shared" si="3"/>
        <v>17</v>
      </c>
      <c r="AG31" s="26"/>
      <c r="AH31" s="24">
        <v>0</v>
      </c>
      <c r="AI31" s="14"/>
      <c r="AJ31" s="14"/>
      <c r="AK31" s="14"/>
      <c r="AL31" s="14">
        <v>0</v>
      </c>
      <c r="AM31" s="77">
        <f t="shared" si="4"/>
        <v>17</v>
      </c>
      <c r="AN31" s="24">
        <v>0</v>
      </c>
      <c r="AO31" s="14"/>
      <c r="AP31" s="14"/>
      <c r="AQ31" s="14"/>
      <c r="AR31" s="14">
        <v>0</v>
      </c>
      <c r="AS31" s="77">
        <f t="shared" si="5"/>
        <v>17</v>
      </c>
      <c r="AT31" s="37"/>
      <c r="AU31" s="38"/>
    </row>
    <row r="32" spans="1:47" ht="18" customHeight="1">
      <c r="A32" s="65">
        <v>348</v>
      </c>
      <c r="B32" s="68" t="s">
        <v>47</v>
      </c>
      <c r="C32" s="33" t="s">
        <v>93</v>
      </c>
      <c r="D32" s="41"/>
      <c r="E32" s="75">
        <v>0</v>
      </c>
      <c r="F32" s="76"/>
      <c r="G32" s="76"/>
      <c r="H32" s="76"/>
      <c r="I32" s="76">
        <v>0</v>
      </c>
      <c r="J32" s="77">
        <f t="shared" si="0"/>
        <v>16</v>
      </c>
      <c r="K32" s="26"/>
      <c r="L32" s="24">
        <v>0</v>
      </c>
      <c r="M32" s="14"/>
      <c r="N32" s="14"/>
      <c r="O32" s="14"/>
      <c r="P32" s="14">
        <v>0</v>
      </c>
      <c r="Q32" s="77">
        <f t="shared" si="1"/>
        <v>17</v>
      </c>
      <c r="R32" s="24">
        <v>0</v>
      </c>
      <c r="S32" s="14"/>
      <c r="T32" s="14"/>
      <c r="U32" s="14"/>
      <c r="V32" s="14">
        <v>0</v>
      </c>
      <c r="W32" s="77">
        <f t="shared" si="2"/>
        <v>17</v>
      </c>
      <c r="X32" s="37"/>
      <c r="Y32" s="38"/>
      <c r="AA32" s="75">
        <v>0</v>
      </c>
      <c r="AB32" s="76"/>
      <c r="AC32" s="76"/>
      <c r="AD32" s="76"/>
      <c r="AE32" s="76">
        <v>0</v>
      </c>
      <c r="AF32" s="77">
        <f t="shared" si="3"/>
        <v>17</v>
      </c>
      <c r="AG32" s="26"/>
      <c r="AH32" s="24">
        <v>0</v>
      </c>
      <c r="AI32" s="14"/>
      <c r="AJ32" s="14"/>
      <c r="AK32" s="14"/>
      <c r="AL32" s="14">
        <v>0</v>
      </c>
      <c r="AM32" s="77">
        <f t="shared" si="4"/>
        <v>17</v>
      </c>
      <c r="AN32" s="24">
        <v>0</v>
      </c>
      <c r="AO32" s="14"/>
      <c r="AP32" s="14"/>
      <c r="AQ32" s="14"/>
      <c r="AR32" s="14">
        <v>0</v>
      </c>
      <c r="AS32" s="77">
        <f t="shared" si="5"/>
        <v>17</v>
      </c>
      <c r="AT32" s="37"/>
      <c r="AU32" s="38"/>
    </row>
    <row r="33" spans="1:47" ht="18" customHeight="1">
      <c r="A33" s="65">
        <v>349</v>
      </c>
      <c r="B33" s="68" t="s">
        <v>88</v>
      </c>
      <c r="C33" s="33" t="s">
        <v>89</v>
      </c>
      <c r="D33" s="41"/>
      <c r="E33" s="75">
        <v>0</v>
      </c>
      <c r="F33" s="76"/>
      <c r="G33" s="76"/>
      <c r="H33" s="76"/>
      <c r="I33" s="76">
        <v>0</v>
      </c>
      <c r="J33" s="77">
        <f t="shared" si="0"/>
        <v>16</v>
      </c>
      <c r="K33" s="26"/>
      <c r="L33" s="24">
        <v>0</v>
      </c>
      <c r="M33" s="14"/>
      <c r="N33" s="14"/>
      <c r="O33" s="14"/>
      <c r="P33" s="14">
        <v>0</v>
      </c>
      <c r="Q33" s="77">
        <f t="shared" si="1"/>
        <v>17</v>
      </c>
      <c r="R33" s="24">
        <v>0</v>
      </c>
      <c r="S33" s="14"/>
      <c r="T33" s="14"/>
      <c r="U33" s="14"/>
      <c r="V33" s="14">
        <v>0</v>
      </c>
      <c r="W33" s="77">
        <f t="shared" si="2"/>
        <v>17</v>
      </c>
      <c r="X33" s="37"/>
      <c r="Y33" s="38"/>
      <c r="AA33" s="75">
        <v>0</v>
      </c>
      <c r="AB33" s="76"/>
      <c r="AC33" s="76"/>
      <c r="AD33" s="76"/>
      <c r="AE33" s="76">
        <v>0</v>
      </c>
      <c r="AF33" s="77">
        <f t="shared" si="3"/>
        <v>17</v>
      </c>
      <c r="AG33" s="26"/>
      <c r="AH33" s="24">
        <v>0</v>
      </c>
      <c r="AI33" s="14"/>
      <c r="AJ33" s="14"/>
      <c r="AK33" s="14"/>
      <c r="AL33" s="14">
        <v>0</v>
      </c>
      <c r="AM33" s="77">
        <f t="shared" si="4"/>
        <v>17</v>
      </c>
      <c r="AN33" s="24">
        <v>0</v>
      </c>
      <c r="AO33" s="14"/>
      <c r="AP33" s="14"/>
      <c r="AQ33" s="14"/>
      <c r="AR33" s="14">
        <v>0</v>
      </c>
      <c r="AS33" s="77">
        <f t="shared" si="5"/>
        <v>17</v>
      </c>
      <c r="AT33" s="37"/>
      <c r="AU33" s="38"/>
    </row>
    <row r="34" spans="1:47" ht="18" customHeight="1">
      <c r="A34" s="65">
        <v>353</v>
      </c>
      <c r="B34" s="68" t="s">
        <v>48</v>
      </c>
      <c r="C34" s="33" t="s">
        <v>49</v>
      </c>
      <c r="D34" s="41"/>
      <c r="E34" s="75">
        <v>0</v>
      </c>
      <c r="F34" s="76"/>
      <c r="G34" s="76"/>
      <c r="H34" s="76"/>
      <c r="I34" s="76">
        <v>0</v>
      </c>
      <c r="J34" s="77">
        <f t="shared" si="0"/>
        <v>16</v>
      </c>
      <c r="K34" s="26"/>
      <c r="L34" s="24">
        <v>0</v>
      </c>
      <c r="M34" s="14"/>
      <c r="N34" s="14"/>
      <c r="O34" s="14"/>
      <c r="P34" s="14">
        <v>0</v>
      </c>
      <c r="Q34" s="77">
        <f t="shared" si="1"/>
        <v>17</v>
      </c>
      <c r="R34" s="24">
        <v>0</v>
      </c>
      <c r="S34" s="14"/>
      <c r="T34" s="14"/>
      <c r="U34" s="14"/>
      <c r="V34" s="14">
        <v>0</v>
      </c>
      <c r="W34" s="77">
        <f t="shared" si="2"/>
        <v>17</v>
      </c>
      <c r="X34" s="37"/>
      <c r="Y34" s="38"/>
      <c r="AA34" s="75">
        <v>0</v>
      </c>
      <c r="AB34" s="76"/>
      <c r="AC34" s="76"/>
      <c r="AD34" s="76"/>
      <c r="AE34" s="76">
        <v>0</v>
      </c>
      <c r="AF34" s="77">
        <f t="shared" si="3"/>
        <v>17</v>
      </c>
      <c r="AG34" s="26"/>
      <c r="AH34" s="24">
        <v>0</v>
      </c>
      <c r="AI34" s="14"/>
      <c r="AJ34" s="14"/>
      <c r="AK34" s="14"/>
      <c r="AL34" s="14">
        <v>0</v>
      </c>
      <c r="AM34" s="77">
        <f t="shared" si="4"/>
        <v>17</v>
      </c>
      <c r="AN34" s="24">
        <v>0</v>
      </c>
      <c r="AO34" s="14"/>
      <c r="AP34" s="14"/>
      <c r="AQ34" s="14"/>
      <c r="AR34" s="14">
        <v>0</v>
      </c>
      <c r="AS34" s="77">
        <f t="shared" si="5"/>
        <v>17</v>
      </c>
      <c r="AT34" s="37"/>
      <c r="AU34" s="38"/>
    </row>
    <row r="35" spans="1:47" ht="18" customHeight="1">
      <c r="A35" s="65">
        <v>355</v>
      </c>
      <c r="B35" s="68" t="s">
        <v>100</v>
      </c>
      <c r="C35" s="33" t="s">
        <v>202</v>
      </c>
      <c r="D35" s="41"/>
      <c r="E35" s="75">
        <v>0</v>
      </c>
      <c r="F35" s="76"/>
      <c r="G35" s="76"/>
      <c r="H35" s="76"/>
      <c r="I35" s="76">
        <v>0</v>
      </c>
      <c r="J35" s="77">
        <f t="shared" si="0"/>
        <v>16</v>
      </c>
      <c r="K35" s="26"/>
      <c r="L35" s="24">
        <v>0</v>
      </c>
      <c r="M35" s="14"/>
      <c r="N35" s="14"/>
      <c r="O35" s="14"/>
      <c r="P35" s="14">
        <v>0</v>
      </c>
      <c r="Q35" s="77">
        <f t="shared" si="1"/>
        <v>17</v>
      </c>
      <c r="R35" s="24">
        <v>0</v>
      </c>
      <c r="S35" s="14"/>
      <c r="T35" s="14"/>
      <c r="U35" s="14"/>
      <c r="V35" s="14">
        <v>0</v>
      </c>
      <c r="W35" s="77">
        <f t="shared" si="2"/>
        <v>17</v>
      </c>
      <c r="X35" s="37"/>
      <c r="Y35" s="38"/>
      <c r="AA35" s="75">
        <v>0</v>
      </c>
      <c r="AB35" s="76"/>
      <c r="AC35" s="76"/>
      <c r="AD35" s="76"/>
      <c r="AE35" s="76">
        <v>0</v>
      </c>
      <c r="AF35" s="77">
        <f t="shared" si="3"/>
        <v>17</v>
      </c>
      <c r="AG35" s="26"/>
      <c r="AH35" s="24">
        <v>0</v>
      </c>
      <c r="AI35" s="14"/>
      <c r="AJ35" s="14"/>
      <c r="AK35" s="14"/>
      <c r="AL35" s="14">
        <v>0</v>
      </c>
      <c r="AM35" s="77">
        <f t="shared" si="4"/>
        <v>17</v>
      </c>
      <c r="AN35" s="24">
        <v>0</v>
      </c>
      <c r="AO35" s="14"/>
      <c r="AP35" s="14"/>
      <c r="AQ35" s="14"/>
      <c r="AR35" s="14">
        <v>0</v>
      </c>
      <c r="AS35" s="77">
        <f t="shared" si="5"/>
        <v>17</v>
      </c>
      <c r="AT35" s="37"/>
      <c r="AU35" s="38"/>
    </row>
    <row r="36" spans="1:47" ht="18" customHeight="1">
      <c r="A36" s="65">
        <v>358</v>
      </c>
      <c r="B36" s="68" t="s">
        <v>50</v>
      </c>
      <c r="C36" s="33" t="s">
        <v>51</v>
      </c>
      <c r="D36" s="41"/>
      <c r="E36" s="75">
        <v>0</v>
      </c>
      <c r="F36" s="76"/>
      <c r="G36" s="76"/>
      <c r="H36" s="76"/>
      <c r="I36" s="76">
        <v>0</v>
      </c>
      <c r="J36" s="77">
        <f t="shared" si="0"/>
        <v>16</v>
      </c>
      <c r="K36" s="26"/>
      <c r="L36" s="24">
        <v>0</v>
      </c>
      <c r="M36" s="14"/>
      <c r="N36" s="14"/>
      <c r="O36" s="14"/>
      <c r="P36" s="14">
        <v>0</v>
      </c>
      <c r="Q36" s="77">
        <f t="shared" si="1"/>
        <v>17</v>
      </c>
      <c r="R36" s="24">
        <v>0</v>
      </c>
      <c r="S36" s="14"/>
      <c r="T36" s="14"/>
      <c r="U36" s="14"/>
      <c r="V36" s="14">
        <v>0</v>
      </c>
      <c r="W36" s="77">
        <f t="shared" si="2"/>
        <v>17</v>
      </c>
      <c r="X36" s="37"/>
      <c r="Y36" s="38"/>
      <c r="AA36" s="75">
        <v>0</v>
      </c>
      <c r="AB36" s="76"/>
      <c r="AC36" s="76"/>
      <c r="AD36" s="76"/>
      <c r="AE36" s="76">
        <v>0</v>
      </c>
      <c r="AF36" s="77">
        <f t="shared" si="3"/>
        <v>17</v>
      </c>
      <c r="AG36" s="26"/>
      <c r="AH36" s="24">
        <v>0</v>
      </c>
      <c r="AI36" s="14"/>
      <c r="AJ36" s="14"/>
      <c r="AK36" s="14"/>
      <c r="AL36" s="14">
        <v>0</v>
      </c>
      <c r="AM36" s="77">
        <f t="shared" si="4"/>
        <v>17</v>
      </c>
      <c r="AN36" s="24">
        <v>0</v>
      </c>
      <c r="AO36" s="14"/>
      <c r="AP36" s="14"/>
      <c r="AQ36" s="14"/>
      <c r="AR36" s="14">
        <v>0</v>
      </c>
      <c r="AS36" s="77">
        <f t="shared" si="5"/>
        <v>17</v>
      </c>
      <c r="AT36" s="37"/>
      <c r="AU36" s="38"/>
    </row>
    <row r="37" spans="1:47" ht="18" customHeight="1">
      <c r="A37" s="65">
        <v>359</v>
      </c>
      <c r="B37" s="68" t="s">
        <v>190</v>
      </c>
      <c r="C37" s="33" t="s">
        <v>203</v>
      </c>
      <c r="D37" s="41"/>
      <c r="E37" s="75">
        <v>0</v>
      </c>
      <c r="F37" s="76"/>
      <c r="G37" s="76"/>
      <c r="H37" s="76"/>
      <c r="I37" s="76">
        <v>0</v>
      </c>
      <c r="J37" s="77">
        <f t="shared" si="0"/>
        <v>16</v>
      </c>
      <c r="K37" s="26"/>
      <c r="L37" s="24">
        <v>0</v>
      </c>
      <c r="M37" s="14"/>
      <c r="N37" s="14"/>
      <c r="O37" s="14"/>
      <c r="P37" s="14">
        <v>0</v>
      </c>
      <c r="Q37" s="77">
        <f t="shared" si="1"/>
        <v>17</v>
      </c>
      <c r="R37" s="24">
        <v>0</v>
      </c>
      <c r="S37" s="14"/>
      <c r="T37" s="14"/>
      <c r="U37" s="14"/>
      <c r="V37" s="14">
        <v>0</v>
      </c>
      <c r="W37" s="77">
        <f t="shared" si="2"/>
        <v>17</v>
      </c>
      <c r="X37" s="37"/>
      <c r="Y37" s="38"/>
      <c r="AA37" s="75">
        <v>0</v>
      </c>
      <c r="AB37" s="76"/>
      <c r="AC37" s="76"/>
      <c r="AD37" s="76"/>
      <c r="AE37" s="76">
        <v>0</v>
      </c>
      <c r="AF37" s="77">
        <f t="shared" si="3"/>
        <v>17</v>
      </c>
      <c r="AG37" s="26"/>
      <c r="AH37" s="24">
        <v>0</v>
      </c>
      <c r="AI37" s="14"/>
      <c r="AJ37" s="14"/>
      <c r="AK37" s="14"/>
      <c r="AL37" s="14">
        <v>0</v>
      </c>
      <c r="AM37" s="77">
        <f t="shared" si="4"/>
        <v>17</v>
      </c>
      <c r="AN37" s="24">
        <v>0</v>
      </c>
      <c r="AO37" s="14"/>
      <c r="AP37" s="14"/>
      <c r="AQ37" s="14"/>
      <c r="AR37" s="14">
        <v>0</v>
      </c>
      <c r="AS37" s="77">
        <f t="shared" si="5"/>
        <v>17</v>
      </c>
      <c r="AT37" s="37"/>
      <c r="AU37" s="38"/>
    </row>
    <row r="38" spans="1:47" ht="18" customHeight="1">
      <c r="A38" s="65">
        <v>361</v>
      </c>
      <c r="B38" s="68" t="s">
        <v>52</v>
      </c>
      <c r="C38" s="33" t="s">
        <v>53</v>
      </c>
      <c r="D38" s="41"/>
      <c r="E38" s="75">
        <v>0</v>
      </c>
      <c r="F38" s="76"/>
      <c r="G38" s="76"/>
      <c r="H38" s="76"/>
      <c r="I38" s="76">
        <v>0</v>
      </c>
      <c r="J38" s="77">
        <f t="shared" si="0"/>
        <v>16</v>
      </c>
      <c r="K38" s="26"/>
      <c r="L38" s="24">
        <v>0</v>
      </c>
      <c r="M38" s="14"/>
      <c r="N38" s="14"/>
      <c r="O38" s="14"/>
      <c r="P38" s="14">
        <v>0</v>
      </c>
      <c r="Q38" s="77">
        <f t="shared" si="1"/>
        <v>17</v>
      </c>
      <c r="R38" s="24">
        <v>0</v>
      </c>
      <c r="S38" s="14"/>
      <c r="T38" s="14"/>
      <c r="U38" s="14"/>
      <c r="V38" s="14">
        <v>0</v>
      </c>
      <c r="W38" s="77">
        <f t="shared" si="2"/>
        <v>17</v>
      </c>
      <c r="X38" s="37"/>
      <c r="Y38" s="38"/>
      <c r="AA38" s="75">
        <v>0</v>
      </c>
      <c r="AB38" s="76"/>
      <c r="AC38" s="76"/>
      <c r="AD38" s="76"/>
      <c r="AE38" s="76">
        <v>0</v>
      </c>
      <c r="AF38" s="77">
        <f t="shared" si="3"/>
        <v>17</v>
      </c>
      <c r="AG38" s="26"/>
      <c r="AH38" s="24">
        <v>0</v>
      </c>
      <c r="AI38" s="14"/>
      <c r="AJ38" s="14"/>
      <c r="AK38" s="14"/>
      <c r="AL38" s="14">
        <v>0</v>
      </c>
      <c r="AM38" s="77">
        <f t="shared" si="4"/>
        <v>17</v>
      </c>
      <c r="AN38" s="24">
        <v>0</v>
      </c>
      <c r="AO38" s="14"/>
      <c r="AP38" s="14"/>
      <c r="AQ38" s="14"/>
      <c r="AR38" s="14">
        <v>0</v>
      </c>
      <c r="AS38" s="77">
        <f t="shared" si="5"/>
        <v>17</v>
      </c>
      <c r="AT38" s="37"/>
      <c r="AU38" s="38"/>
    </row>
    <row r="39" spans="1:47" ht="18" customHeight="1">
      <c r="A39" s="65">
        <v>362</v>
      </c>
      <c r="B39" s="68" t="s">
        <v>187</v>
      </c>
      <c r="C39" s="33" t="s">
        <v>204</v>
      </c>
      <c r="D39" s="41"/>
      <c r="E39" s="75">
        <v>5643339</v>
      </c>
      <c r="F39" s="76">
        <v>914182</v>
      </c>
      <c r="G39" s="76">
        <v>4729157</v>
      </c>
      <c r="H39" s="76">
        <v>8</v>
      </c>
      <c r="I39" s="76">
        <v>49262</v>
      </c>
      <c r="J39" s="77">
        <f t="shared" si="0"/>
        <v>1</v>
      </c>
      <c r="K39" s="26"/>
      <c r="L39" s="24">
        <v>5643339</v>
      </c>
      <c r="M39" s="14">
        <v>914182</v>
      </c>
      <c r="N39" s="14">
        <v>4729157</v>
      </c>
      <c r="O39" s="14">
        <v>8</v>
      </c>
      <c r="P39" s="14">
        <v>49262</v>
      </c>
      <c r="Q39" s="77">
        <f t="shared" si="1"/>
        <v>4</v>
      </c>
      <c r="R39" s="24">
        <v>8302711</v>
      </c>
      <c r="S39" s="14">
        <v>2056377</v>
      </c>
      <c r="T39" s="14">
        <v>6246334</v>
      </c>
      <c r="U39" s="14">
        <v>8</v>
      </c>
      <c r="V39" s="14">
        <v>65066</v>
      </c>
      <c r="W39" s="77">
        <f t="shared" si="2"/>
        <v>1</v>
      </c>
      <c r="X39" s="37"/>
      <c r="Y39" s="38"/>
      <c r="AA39" s="75">
        <v>5879797</v>
      </c>
      <c r="AB39" s="76">
        <v>914182</v>
      </c>
      <c r="AC39" s="76">
        <v>4965615</v>
      </c>
      <c r="AD39" s="76">
        <v>8</v>
      </c>
      <c r="AE39" s="76">
        <v>51725</v>
      </c>
      <c r="AF39" s="77">
        <f t="shared" si="3"/>
        <v>1</v>
      </c>
      <c r="AG39" s="26"/>
      <c r="AH39" s="24">
        <v>5879797</v>
      </c>
      <c r="AI39" s="14">
        <v>914182</v>
      </c>
      <c r="AJ39" s="14">
        <v>4965615</v>
      </c>
      <c r="AK39" s="14">
        <v>8</v>
      </c>
      <c r="AL39" s="14">
        <v>51725</v>
      </c>
      <c r="AM39" s="77">
        <f t="shared" si="4"/>
        <v>1</v>
      </c>
      <c r="AN39" s="24">
        <v>7816769</v>
      </c>
      <c r="AO39" s="14">
        <v>2723491</v>
      </c>
      <c r="AP39" s="14">
        <v>5093278</v>
      </c>
      <c r="AQ39" s="14">
        <v>6.33</v>
      </c>
      <c r="AR39" s="14">
        <v>67052</v>
      </c>
      <c r="AS39" s="77">
        <f t="shared" si="5"/>
        <v>2</v>
      </c>
      <c r="AT39" s="37"/>
      <c r="AU39" s="38"/>
    </row>
    <row r="40" spans="1:47" ht="18" customHeight="1">
      <c r="A40" s="65">
        <v>364</v>
      </c>
      <c r="B40" s="68" t="s">
        <v>219</v>
      </c>
      <c r="C40" s="33"/>
      <c r="D40" s="41"/>
      <c r="E40" s="75">
        <v>0</v>
      </c>
      <c r="F40" s="76">
        <v>0</v>
      </c>
      <c r="G40" s="76">
        <v>0</v>
      </c>
      <c r="H40" s="76">
        <v>0</v>
      </c>
      <c r="I40" s="76">
        <v>0</v>
      </c>
      <c r="J40" s="77">
        <f t="shared" si="0"/>
        <v>16</v>
      </c>
      <c r="K40" s="26"/>
      <c r="L40" s="24">
        <v>4286119</v>
      </c>
      <c r="M40" s="14">
        <v>279333</v>
      </c>
      <c r="N40" s="14">
        <v>4006786</v>
      </c>
      <c r="O40" s="14">
        <v>6.67</v>
      </c>
      <c r="P40" s="14">
        <v>50060</v>
      </c>
      <c r="Q40" s="77">
        <f t="shared" si="1"/>
        <v>2</v>
      </c>
      <c r="R40" s="24">
        <v>7402023</v>
      </c>
      <c r="S40" s="14">
        <v>472380</v>
      </c>
      <c r="T40" s="14">
        <v>6929643</v>
      </c>
      <c r="U40" s="14">
        <v>9.9600000000000009</v>
      </c>
      <c r="V40" s="14">
        <v>57979</v>
      </c>
      <c r="W40" s="77">
        <f t="shared" si="2"/>
        <v>3</v>
      </c>
      <c r="X40" s="37"/>
      <c r="Y40" s="38"/>
      <c r="AA40" s="75">
        <v>10431219</v>
      </c>
      <c r="AB40" s="76">
        <v>500000</v>
      </c>
      <c r="AC40" s="76">
        <v>9931219</v>
      </c>
      <c r="AD40" s="76">
        <v>16</v>
      </c>
      <c r="AE40" s="76">
        <v>51725</v>
      </c>
      <c r="AF40" s="77">
        <f t="shared" si="3"/>
        <v>1</v>
      </c>
      <c r="AG40" s="26"/>
      <c r="AH40" s="24">
        <v>10431219</v>
      </c>
      <c r="AI40" s="14">
        <v>500000</v>
      </c>
      <c r="AJ40" s="14">
        <v>9931219</v>
      </c>
      <c r="AK40" s="14">
        <v>16</v>
      </c>
      <c r="AL40" s="14">
        <v>51725</v>
      </c>
      <c r="AM40" s="77">
        <f t="shared" si="4"/>
        <v>1</v>
      </c>
      <c r="AN40" s="24">
        <v>8572999</v>
      </c>
      <c r="AO40" s="14">
        <v>430290</v>
      </c>
      <c r="AP40" s="14">
        <v>8142709</v>
      </c>
      <c r="AQ40" s="14">
        <v>12.08</v>
      </c>
      <c r="AR40" s="14">
        <v>56172</v>
      </c>
      <c r="AS40" s="77">
        <f t="shared" si="5"/>
        <v>4</v>
      </c>
      <c r="AT40" s="37"/>
      <c r="AU40" s="38"/>
    </row>
    <row r="41" spans="1:47" ht="18" customHeight="1">
      <c r="A41" s="65">
        <v>371</v>
      </c>
      <c r="B41" s="68" t="s">
        <v>193</v>
      </c>
      <c r="C41" s="33" t="s">
        <v>205</v>
      </c>
      <c r="D41" s="41"/>
      <c r="E41" s="75">
        <v>0</v>
      </c>
      <c r="F41" s="76"/>
      <c r="G41" s="76"/>
      <c r="H41" s="76"/>
      <c r="I41" s="76">
        <v>0</v>
      </c>
      <c r="J41" s="77">
        <f t="shared" ref="J41:J49" si="6">RANK(I41,I$6:I$49,0)</f>
        <v>16</v>
      </c>
      <c r="K41" s="26"/>
      <c r="L41" s="24">
        <v>0</v>
      </c>
      <c r="M41" s="14"/>
      <c r="N41" s="14"/>
      <c r="O41" s="14"/>
      <c r="P41" s="14">
        <v>0</v>
      </c>
      <c r="Q41" s="77">
        <f t="shared" ref="Q41:Q49" si="7">RANK(P41,P$6:P$49,0)</f>
        <v>17</v>
      </c>
      <c r="R41" s="24">
        <v>0</v>
      </c>
      <c r="S41" s="14"/>
      <c r="T41" s="14"/>
      <c r="U41" s="14"/>
      <c r="V41" s="14">
        <v>0</v>
      </c>
      <c r="W41" s="77">
        <f t="shared" ref="W41:W49" si="8">RANK(V41,V$6:V$49,0)</f>
        <v>17</v>
      </c>
      <c r="X41" s="37"/>
      <c r="Y41" s="38"/>
      <c r="AA41" s="75">
        <v>0</v>
      </c>
      <c r="AB41" s="76"/>
      <c r="AC41" s="76"/>
      <c r="AD41" s="76"/>
      <c r="AE41" s="76">
        <v>0</v>
      </c>
      <c r="AF41" s="77">
        <f t="shared" si="3"/>
        <v>17</v>
      </c>
      <c r="AG41" s="26"/>
      <c r="AH41" s="24">
        <v>0</v>
      </c>
      <c r="AI41" s="14"/>
      <c r="AJ41" s="14"/>
      <c r="AK41" s="14"/>
      <c r="AL41" s="14">
        <v>0</v>
      </c>
      <c r="AM41" s="77">
        <f t="shared" si="4"/>
        <v>17</v>
      </c>
      <c r="AN41" s="24">
        <v>0</v>
      </c>
      <c r="AO41" s="14"/>
      <c r="AP41" s="14"/>
      <c r="AQ41" s="14"/>
      <c r="AR41" s="14">
        <v>0</v>
      </c>
      <c r="AS41" s="77">
        <f t="shared" si="5"/>
        <v>17</v>
      </c>
      <c r="AT41" s="37"/>
      <c r="AU41" s="38"/>
    </row>
    <row r="42" spans="1:47" ht="18" customHeight="1">
      <c r="A42" s="65">
        <v>372</v>
      </c>
      <c r="B42" s="68" t="s">
        <v>54</v>
      </c>
      <c r="C42" s="33" t="s">
        <v>55</v>
      </c>
      <c r="D42" s="41"/>
      <c r="E42" s="75">
        <v>0</v>
      </c>
      <c r="F42" s="76"/>
      <c r="G42" s="76"/>
      <c r="H42" s="76"/>
      <c r="I42" s="76">
        <v>0</v>
      </c>
      <c r="J42" s="77">
        <f t="shared" si="6"/>
        <v>16</v>
      </c>
      <c r="K42" s="26"/>
      <c r="L42" s="24">
        <v>0</v>
      </c>
      <c r="M42" s="14"/>
      <c r="N42" s="14"/>
      <c r="O42" s="14"/>
      <c r="P42" s="14">
        <v>0</v>
      </c>
      <c r="Q42" s="77">
        <f t="shared" si="7"/>
        <v>17</v>
      </c>
      <c r="R42" s="24">
        <v>0</v>
      </c>
      <c r="S42" s="14"/>
      <c r="T42" s="14"/>
      <c r="U42" s="14"/>
      <c r="V42" s="14">
        <v>0</v>
      </c>
      <c r="W42" s="77">
        <f t="shared" si="8"/>
        <v>17</v>
      </c>
      <c r="X42" s="37"/>
      <c r="Y42" s="38"/>
      <c r="AA42" s="75">
        <v>0</v>
      </c>
      <c r="AB42" s="76"/>
      <c r="AC42" s="76"/>
      <c r="AD42" s="76"/>
      <c r="AE42" s="76">
        <v>0</v>
      </c>
      <c r="AF42" s="77">
        <f t="shared" si="3"/>
        <v>17</v>
      </c>
      <c r="AG42" s="26"/>
      <c r="AH42" s="24">
        <v>0</v>
      </c>
      <c r="AI42" s="14"/>
      <c r="AJ42" s="14"/>
      <c r="AK42" s="14"/>
      <c r="AL42" s="14">
        <v>0</v>
      </c>
      <c r="AM42" s="77">
        <f t="shared" si="4"/>
        <v>17</v>
      </c>
      <c r="AN42" s="24">
        <v>0</v>
      </c>
      <c r="AO42" s="14"/>
      <c r="AP42" s="14"/>
      <c r="AQ42" s="14"/>
      <c r="AR42" s="14">
        <v>0</v>
      </c>
      <c r="AS42" s="77">
        <f t="shared" si="5"/>
        <v>17</v>
      </c>
      <c r="AT42" s="37"/>
      <c r="AU42" s="38"/>
    </row>
    <row r="43" spans="1:47" ht="18" customHeight="1">
      <c r="A43" s="65">
        <v>373</v>
      </c>
      <c r="B43" s="68" t="s">
        <v>188</v>
      </c>
      <c r="C43" s="33" t="s">
        <v>206</v>
      </c>
      <c r="D43" s="41"/>
      <c r="E43" s="75">
        <v>0</v>
      </c>
      <c r="F43" s="76"/>
      <c r="G43" s="76"/>
      <c r="H43" s="76"/>
      <c r="I43" s="76">
        <v>0</v>
      </c>
      <c r="J43" s="77">
        <f t="shared" si="6"/>
        <v>16</v>
      </c>
      <c r="K43" s="26"/>
      <c r="L43" s="24">
        <v>0</v>
      </c>
      <c r="M43" s="14"/>
      <c r="N43" s="14"/>
      <c r="O43" s="14"/>
      <c r="P43" s="14">
        <v>0</v>
      </c>
      <c r="Q43" s="77">
        <f t="shared" si="7"/>
        <v>17</v>
      </c>
      <c r="R43" s="24">
        <v>0</v>
      </c>
      <c r="S43" s="14"/>
      <c r="T43" s="14"/>
      <c r="U43" s="14"/>
      <c r="V43" s="14">
        <v>0</v>
      </c>
      <c r="W43" s="77">
        <f t="shared" si="8"/>
        <v>17</v>
      </c>
      <c r="X43" s="37"/>
      <c r="Y43" s="38"/>
      <c r="AA43" s="75">
        <v>0</v>
      </c>
      <c r="AB43" s="76"/>
      <c r="AC43" s="76"/>
      <c r="AD43" s="76"/>
      <c r="AE43" s="76">
        <v>0</v>
      </c>
      <c r="AF43" s="77">
        <f t="shared" si="3"/>
        <v>17</v>
      </c>
      <c r="AG43" s="26"/>
      <c r="AH43" s="24">
        <v>0</v>
      </c>
      <c r="AI43" s="14"/>
      <c r="AJ43" s="14"/>
      <c r="AK43" s="14"/>
      <c r="AL43" s="14">
        <v>0</v>
      </c>
      <c r="AM43" s="77">
        <f t="shared" si="4"/>
        <v>17</v>
      </c>
      <c r="AN43" s="24">
        <v>0</v>
      </c>
      <c r="AO43" s="14"/>
      <c r="AP43" s="14"/>
      <c r="AQ43" s="14"/>
      <c r="AR43" s="14">
        <v>0</v>
      </c>
      <c r="AS43" s="77">
        <f t="shared" si="5"/>
        <v>17</v>
      </c>
      <c r="AT43" s="37"/>
      <c r="AU43" s="38"/>
    </row>
    <row r="44" spans="1:47" ht="18" customHeight="1">
      <c r="A44" s="65">
        <v>374</v>
      </c>
      <c r="B44" s="68" t="s">
        <v>56</v>
      </c>
      <c r="C44" s="33" t="s">
        <v>57</v>
      </c>
      <c r="D44" s="41"/>
      <c r="E44" s="75">
        <v>0</v>
      </c>
      <c r="F44" s="76"/>
      <c r="G44" s="76"/>
      <c r="H44" s="76"/>
      <c r="I44" s="76">
        <v>0</v>
      </c>
      <c r="J44" s="77">
        <f t="shared" si="6"/>
        <v>16</v>
      </c>
      <c r="K44" s="26"/>
      <c r="L44" s="24">
        <v>0</v>
      </c>
      <c r="M44" s="14"/>
      <c r="N44" s="14"/>
      <c r="O44" s="14"/>
      <c r="P44" s="14">
        <v>0</v>
      </c>
      <c r="Q44" s="77">
        <f t="shared" si="7"/>
        <v>17</v>
      </c>
      <c r="R44" s="24">
        <v>0</v>
      </c>
      <c r="S44" s="14"/>
      <c r="T44" s="14"/>
      <c r="U44" s="14"/>
      <c r="V44" s="14">
        <v>0</v>
      </c>
      <c r="W44" s="77">
        <f t="shared" si="8"/>
        <v>17</v>
      </c>
      <c r="X44" s="37"/>
      <c r="Y44" s="38"/>
      <c r="AA44" s="75">
        <v>0</v>
      </c>
      <c r="AB44" s="76"/>
      <c r="AC44" s="76"/>
      <c r="AD44" s="76"/>
      <c r="AE44" s="76">
        <v>0</v>
      </c>
      <c r="AF44" s="77">
        <f t="shared" si="3"/>
        <v>17</v>
      </c>
      <c r="AG44" s="26"/>
      <c r="AH44" s="24">
        <v>0</v>
      </c>
      <c r="AI44" s="14"/>
      <c r="AJ44" s="14"/>
      <c r="AK44" s="14"/>
      <c r="AL44" s="14">
        <v>0</v>
      </c>
      <c r="AM44" s="77">
        <f t="shared" si="4"/>
        <v>17</v>
      </c>
      <c r="AN44" s="24">
        <v>0</v>
      </c>
      <c r="AO44" s="14"/>
      <c r="AP44" s="14"/>
      <c r="AQ44" s="14"/>
      <c r="AR44" s="14">
        <v>0</v>
      </c>
      <c r="AS44" s="77">
        <f t="shared" si="5"/>
        <v>17</v>
      </c>
      <c r="AT44" s="37"/>
      <c r="AU44" s="38"/>
    </row>
    <row r="45" spans="1:47" ht="16.5" customHeight="1">
      <c r="A45" s="65">
        <v>375</v>
      </c>
      <c r="B45" s="68" t="s">
        <v>58</v>
      </c>
      <c r="C45" s="33" t="s">
        <v>59</v>
      </c>
      <c r="D45" s="41"/>
      <c r="E45" s="75">
        <v>0</v>
      </c>
      <c r="F45" s="76"/>
      <c r="G45" s="76"/>
      <c r="H45" s="76"/>
      <c r="I45" s="76">
        <v>0</v>
      </c>
      <c r="J45" s="77">
        <f t="shared" si="6"/>
        <v>16</v>
      </c>
      <c r="K45" s="26"/>
      <c r="L45" s="24">
        <v>0</v>
      </c>
      <c r="M45" s="14"/>
      <c r="N45" s="14"/>
      <c r="O45" s="14"/>
      <c r="P45" s="14">
        <v>0</v>
      </c>
      <c r="Q45" s="77">
        <f t="shared" si="7"/>
        <v>17</v>
      </c>
      <c r="R45" s="24">
        <v>0</v>
      </c>
      <c r="S45" s="14"/>
      <c r="T45" s="14"/>
      <c r="U45" s="14"/>
      <c r="V45" s="14">
        <v>0</v>
      </c>
      <c r="W45" s="77">
        <f t="shared" si="8"/>
        <v>17</v>
      </c>
      <c r="X45" s="37"/>
      <c r="Y45" s="38"/>
      <c r="AA45" s="75">
        <v>0</v>
      </c>
      <c r="AB45" s="76"/>
      <c r="AC45" s="76"/>
      <c r="AD45" s="76"/>
      <c r="AE45" s="76">
        <v>0</v>
      </c>
      <c r="AF45" s="77">
        <f t="shared" si="3"/>
        <v>17</v>
      </c>
      <c r="AG45" s="26"/>
      <c r="AH45" s="24">
        <v>0</v>
      </c>
      <c r="AI45" s="14"/>
      <c r="AJ45" s="14"/>
      <c r="AK45" s="14"/>
      <c r="AL45" s="14">
        <v>0</v>
      </c>
      <c r="AM45" s="77">
        <f t="shared" si="4"/>
        <v>17</v>
      </c>
      <c r="AN45" s="24">
        <v>0</v>
      </c>
      <c r="AO45" s="14"/>
      <c r="AP45" s="14"/>
      <c r="AQ45" s="14"/>
      <c r="AR45" s="14">
        <v>0</v>
      </c>
      <c r="AS45" s="77">
        <f t="shared" si="5"/>
        <v>17</v>
      </c>
      <c r="AT45" s="37"/>
      <c r="AU45" s="38"/>
    </row>
    <row r="46" spans="1:47" ht="16.5" customHeight="1">
      <c r="A46" s="65">
        <v>376</v>
      </c>
      <c r="B46" s="68" t="s">
        <v>105</v>
      </c>
      <c r="C46" s="33" t="s">
        <v>207</v>
      </c>
      <c r="D46" s="250"/>
      <c r="E46" s="146">
        <v>0</v>
      </c>
      <c r="F46" s="158"/>
      <c r="G46" s="158"/>
      <c r="H46" s="158"/>
      <c r="I46" s="137">
        <v>0</v>
      </c>
      <c r="J46" s="247">
        <f t="shared" si="6"/>
        <v>16</v>
      </c>
      <c r="K46" s="26"/>
      <c r="L46" s="159">
        <v>0</v>
      </c>
      <c r="M46" s="140"/>
      <c r="N46" s="140"/>
      <c r="O46" s="140"/>
      <c r="P46" s="140">
        <v>0</v>
      </c>
      <c r="Q46" s="247">
        <f t="shared" si="7"/>
        <v>17</v>
      </c>
      <c r="R46" s="159">
        <v>0</v>
      </c>
      <c r="S46" s="140"/>
      <c r="T46" s="140"/>
      <c r="U46" s="140"/>
      <c r="V46" s="140">
        <v>0</v>
      </c>
      <c r="W46" s="247">
        <f t="shared" si="8"/>
        <v>17</v>
      </c>
      <c r="X46" s="37"/>
      <c r="Y46" s="38"/>
      <c r="AA46" s="146">
        <v>0</v>
      </c>
      <c r="AB46" s="158"/>
      <c r="AC46" s="158"/>
      <c r="AD46" s="158"/>
      <c r="AE46" s="137">
        <v>0</v>
      </c>
      <c r="AF46" s="247">
        <f t="shared" si="3"/>
        <v>17</v>
      </c>
      <c r="AG46" s="26"/>
      <c r="AH46" s="159">
        <v>0</v>
      </c>
      <c r="AI46" s="140"/>
      <c r="AJ46" s="140"/>
      <c r="AK46" s="140"/>
      <c r="AL46" s="140">
        <v>0</v>
      </c>
      <c r="AM46" s="247">
        <f t="shared" si="4"/>
        <v>17</v>
      </c>
      <c r="AN46" s="159">
        <v>0</v>
      </c>
      <c r="AO46" s="140"/>
      <c r="AP46" s="140"/>
      <c r="AQ46" s="140"/>
      <c r="AR46" s="140">
        <v>0</v>
      </c>
      <c r="AS46" s="247">
        <f t="shared" si="5"/>
        <v>17</v>
      </c>
      <c r="AT46" s="37"/>
      <c r="AU46" s="38"/>
    </row>
    <row r="47" spans="1:47" ht="16.5" customHeight="1">
      <c r="A47" s="66">
        <v>377</v>
      </c>
      <c r="B47" s="69" t="s">
        <v>163</v>
      </c>
      <c r="C47" s="33" t="s">
        <v>104</v>
      </c>
      <c r="D47" s="42"/>
      <c r="E47" s="75">
        <v>0</v>
      </c>
      <c r="F47" s="76"/>
      <c r="G47" s="76"/>
      <c r="H47" s="76"/>
      <c r="I47" s="76">
        <v>0</v>
      </c>
      <c r="J47" s="77">
        <f t="shared" si="6"/>
        <v>16</v>
      </c>
      <c r="K47" s="26"/>
      <c r="L47" s="24">
        <v>0</v>
      </c>
      <c r="M47" s="14"/>
      <c r="N47" s="14"/>
      <c r="O47" s="14"/>
      <c r="P47" s="14">
        <v>0</v>
      </c>
      <c r="Q47" s="77">
        <f t="shared" si="7"/>
        <v>17</v>
      </c>
      <c r="R47" s="24">
        <v>0</v>
      </c>
      <c r="S47" s="14"/>
      <c r="T47" s="14"/>
      <c r="U47" s="14"/>
      <c r="V47" s="14">
        <v>0</v>
      </c>
      <c r="W47" s="77">
        <f t="shared" si="8"/>
        <v>17</v>
      </c>
      <c r="X47" s="37"/>
      <c r="Y47" s="38"/>
      <c r="AA47" s="75">
        <v>0</v>
      </c>
      <c r="AB47" s="76"/>
      <c r="AC47" s="76"/>
      <c r="AD47" s="76"/>
      <c r="AE47" s="76">
        <v>0</v>
      </c>
      <c r="AF47" s="77">
        <f t="shared" si="3"/>
        <v>17</v>
      </c>
      <c r="AG47" s="26"/>
      <c r="AH47" s="24">
        <v>0</v>
      </c>
      <c r="AI47" s="14"/>
      <c r="AJ47" s="14"/>
      <c r="AK47" s="14"/>
      <c r="AL47" s="14">
        <v>0</v>
      </c>
      <c r="AM47" s="77">
        <f t="shared" si="4"/>
        <v>17</v>
      </c>
      <c r="AN47" s="24">
        <v>0</v>
      </c>
      <c r="AO47" s="14"/>
      <c r="AP47" s="14"/>
      <c r="AQ47" s="14"/>
      <c r="AR47" s="14">
        <v>0</v>
      </c>
      <c r="AS47" s="77">
        <f t="shared" si="5"/>
        <v>17</v>
      </c>
      <c r="AT47" s="37"/>
      <c r="AU47" s="38"/>
    </row>
    <row r="48" spans="1:47" ht="16.5" customHeight="1">
      <c r="A48" s="138">
        <v>378</v>
      </c>
      <c r="B48" s="139" t="s">
        <v>189</v>
      </c>
      <c r="C48" s="33" t="s">
        <v>208</v>
      </c>
      <c r="D48" s="42"/>
      <c r="E48" s="75">
        <v>0</v>
      </c>
      <c r="F48" s="76"/>
      <c r="G48" s="76"/>
      <c r="H48" s="76"/>
      <c r="I48" s="76">
        <v>0</v>
      </c>
      <c r="J48" s="77">
        <f t="shared" si="6"/>
        <v>16</v>
      </c>
      <c r="K48" s="26"/>
      <c r="L48" s="47">
        <v>0</v>
      </c>
      <c r="M48" s="48"/>
      <c r="N48" s="48"/>
      <c r="O48" s="48"/>
      <c r="P48" s="48">
        <v>0</v>
      </c>
      <c r="Q48" s="77">
        <f t="shared" si="7"/>
        <v>17</v>
      </c>
      <c r="R48" s="47">
        <v>0</v>
      </c>
      <c r="S48" s="48"/>
      <c r="T48" s="48"/>
      <c r="U48" s="48"/>
      <c r="V48" s="48">
        <v>0</v>
      </c>
      <c r="W48" s="77">
        <f t="shared" si="8"/>
        <v>17</v>
      </c>
      <c r="X48" s="37"/>
      <c r="Y48" s="38"/>
      <c r="AA48" s="75">
        <v>0</v>
      </c>
      <c r="AB48" s="76"/>
      <c r="AC48" s="76"/>
      <c r="AD48" s="76"/>
      <c r="AE48" s="76">
        <v>0</v>
      </c>
      <c r="AF48" s="77">
        <f t="shared" si="3"/>
        <v>17</v>
      </c>
      <c r="AG48" s="26"/>
      <c r="AH48" s="47">
        <v>0</v>
      </c>
      <c r="AI48" s="48"/>
      <c r="AJ48" s="48"/>
      <c r="AK48" s="48"/>
      <c r="AL48" s="48">
        <v>0</v>
      </c>
      <c r="AM48" s="77">
        <f t="shared" si="4"/>
        <v>17</v>
      </c>
      <c r="AN48" s="47">
        <v>0</v>
      </c>
      <c r="AO48" s="48"/>
      <c r="AP48" s="48"/>
      <c r="AQ48" s="48"/>
      <c r="AR48" s="48">
        <v>0</v>
      </c>
      <c r="AS48" s="77">
        <f t="shared" si="5"/>
        <v>17</v>
      </c>
      <c r="AT48" s="37"/>
      <c r="AU48" s="38"/>
    </row>
    <row r="49" spans="1:47" ht="16.5" customHeight="1" thickBot="1">
      <c r="A49" s="67">
        <v>381</v>
      </c>
      <c r="B49" s="70" t="s">
        <v>60</v>
      </c>
      <c r="C49" s="33" t="s">
        <v>61</v>
      </c>
      <c r="D49" s="42"/>
      <c r="E49" s="75">
        <v>0</v>
      </c>
      <c r="F49" s="76"/>
      <c r="G49" s="76"/>
      <c r="H49" s="76"/>
      <c r="I49" s="76">
        <v>0</v>
      </c>
      <c r="J49" s="77">
        <f t="shared" si="6"/>
        <v>16</v>
      </c>
      <c r="K49" s="26"/>
      <c r="L49" s="47">
        <v>0</v>
      </c>
      <c r="M49" s="48"/>
      <c r="N49" s="48"/>
      <c r="O49" s="48"/>
      <c r="P49" s="48">
        <v>0</v>
      </c>
      <c r="Q49" s="77">
        <f t="shared" si="7"/>
        <v>17</v>
      </c>
      <c r="R49" s="47">
        <v>0</v>
      </c>
      <c r="S49" s="48"/>
      <c r="T49" s="48"/>
      <c r="U49" s="48"/>
      <c r="V49" s="48">
        <v>0</v>
      </c>
      <c r="W49" s="77">
        <f t="shared" si="8"/>
        <v>17</v>
      </c>
      <c r="X49" s="37"/>
      <c r="Y49" s="38"/>
      <c r="AA49" s="75">
        <v>0</v>
      </c>
      <c r="AB49" s="76"/>
      <c r="AC49" s="76"/>
      <c r="AD49" s="76"/>
      <c r="AE49" s="76">
        <v>0</v>
      </c>
      <c r="AF49" s="77">
        <f t="shared" si="3"/>
        <v>17</v>
      </c>
      <c r="AG49" s="26"/>
      <c r="AH49" s="47">
        <v>0</v>
      </c>
      <c r="AI49" s="48"/>
      <c r="AJ49" s="48"/>
      <c r="AK49" s="48"/>
      <c r="AL49" s="48">
        <v>0</v>
      </c>
      <c r="AM49" s="77">
        <f t="shared" si="4"/>
        <v>17</v>
      </c>
      <c r="AN49" s="47">
        <v>0</v>
      </c>
      <c r="AO49" s="48"/>
      <c r="AP49" s="48"/>
      <c r="AQ49" s="48"/>
      <c r="AR49" s="48">
        <v>0</v>
      </c>
      <c r="AS49" s="77">
        <f t="shared" si="5"/>
        <v>17</v>
      </c>
      <c r="AT49" s="37"/>
      <c r="AU49" s="38"/>
    </row>
    <row r="50" spans="1:47" ht="14">
      <c r="A50" s="342" t="s">
        <v>169</v>
      </c>
      <c r="B50" s="343"/>
      <c r="C50" s="46"/>
      <c r="D50" s="43"/>
      <c r="E50" s="49"/>
      <c r="F50" s="176"/>
      <c r="G50" s="176"/>
      <c r="H50" s="176"/>
      <c r="I50" s="50"/>
      <c r="J50" s="51"/>
      <c r="K50" s="52"/>
      <c r="L50" s="49"/>
      <c r="M50" s="50"/>
      <c r="N50" s="50"/>
      <c r="O50" s="50"/>
      <c r="P50" s="50"/>
      <c r="Q50" s="51"/>
      <c r="R50" s="49"/>
      <c r="S50" s="50"/>
      <c r="T50" s="50"/>
      <c r="U50" s="50"/>
      <c r="V50" s="50"/>
      <c r="W50" s="51"/>
      <c r="X50" s="53"/>
      <c r="Y50" s="52"/>
      <c r="AA50" s="49"/>
      <c r="AB50" s="176"/>
      <c r="AC50" s="176"/>
      <c r="AD50" s="176"/>
      <c r="AE50" s="50"/>
      <c r="AF50" s="51"/>
      <c r="AG50" s="52"/>
      <c r="AH50" s="49"/>
      <c r="AI50" s="50"/>
      <c r="AJ50" s="50"/>
      <c r="AK50" s="50"/>
      <c r="AL50" s="50"/>
      <c r="AM50" s="51"/>
      <c r="AN50" s="49"/>
      <c r="AO50" s="50"/>
      <c r="AP50" s="50"/>
      <c r="AQ50" s="50"/>
      <c r="AR50" s="50"/>
      <c r="AS50" s="51"/>
      <c r="AT50" s="53"/>
      <c r="AU50" s="52"/>
    </row>
    <row r="51" spans="1:47" ht="14">
      <c r="A51" s="344"/>
      <c r="B51" s="345"/>
      <c r="C51" s="35" t="s">
        <v>62</v>
      </c>
      <c r="D51" s="43"/>
      <c r="E51" s="20">
        <f>SUM(E6:E49)</f>
        <v>144200728942</v>
      </c>
      <c r="F51" s="10">
        <f t="shared" ref="F51:H51" si="9">SUM(F6:F49)</f>
        <v>1339637938</v>
      </c>
      <c r="G51" s="10">
        <f t="shared" si="9"/>
        <v>142861091004</v>
      </c>
      <c r="H51" s="10">
        <f t="shared" si="9"/>
        <v>275623.86</v>
      </c>
      <c r="I51" s="10">
        <f>IF(H51=0,0,ROUND(G51/H51/12,0))</f>
        <v>43193</v>
      </c>
      <c r="J51" s="11" t="s">
        <v>63</v>
      </c>
      <c r="K51" s="25"/>
      <c r="L51" s="20">
        <f>SUM(L6:L49)</f>
        <v>147720663557</v>
      </c>
      <c r="M51" s="10">
        <f t="shared" ref="M51:O51" si="10">SUM(M6:M49)</f>
        <v>1713283176</v>
      </c>
      <c r="N51" s="10">
        <f t="shared" si="10"/>
        <v>146007380381</v>
      </c>
      <c r="O51" s="10">
        <f t="shared" si="10"/>
        <v>285436.42999999993</v>
      </c>
      <c r="P51" s="10">
        <f>IF(O51=0,0,ROUND(N51/O51/12,0))</f>
        <v>42627</v>
      </c>
      <c r="Q51" s="11" t="s">
        <v>63</v>
      </c>
      <c r="R51" s="20">
        <f>SUM(R6:R49)</f>
        <v>153692636491.79999</v>
      </c>
      <c r="S51" s="10">
        <f t="shared" ref="S51:U51" si="11">SUM(S6:S49)</f>
        <v>3413360520.1300001</v>
      </c>
      <c r="T51" s="10">
        <f t="shared" si="11"/>
        <v>150279275971.66998</v>
      </c>
      <c r="U51" s="10">
        <f t="shared" si="11"/>
        <v>291389.22000000003</v>
      </c>
      <c r="V51" s="10">
        <f>IF(U51=0,0,ROUND(T51/U51/12,0))</f>
        <v>42978</v>
      </c>
      <c r="W51" s="11" t="s">
        <v>63</v>
      </c>
      <c r="X51" s="40"/>
      <c r="Y51" s="25"/>
      <c r="AA51" s="20">
        <f>SUM(AA6:AA49)</f>
        <v>154277294189</v>
      </c>
      <c r="AB51" s="187">
        <f t="shared" ref="AB51:AD51" si="12">SUM(AB6:AB49)</f>
        <v>1527922274</v>
      </c>
      <c r="AC51" s="187">
        <f t="shared" si="12"/>
        <v>152749371915</v>
      </c>
      <c r="AD51" s="187">
        <f t="shared" si="12"/>
        <v>276773.64999999997</v>
      </c>
      <c r="AE51" s="187">
        <f t="shared" ref="AE51" si="13">IF(AD51=0,0,ROUND(AC51/AD51/12,0))</f>
        <v>45991</v>
      </c>
      <c r="AF51" s="11" t="s">
        <v>63</v>
      </c>
      <c r="AG51" s="25"/>
      <c r="AH51" s="20">
        <f>SUM(AH6:AH49)</f>
        <v>158910919676</v>
      </c>
      <c r="AI51" s="187">
        <f t="shared" ref="AI51:AK51" si="14">SUM(AI6:AI49)</f>
        <v>1730344838</v>
      </c>
      <c r="AJ51" s="187">
        <f t="shared" si="14"/>
        <v>157180574838</v>
      </c>
      <c r="AK51" s="187">
        <f t="shared" si="14"/>
        <v>288708.40000000008</v>
      </c>
      <c r="AL51" s="187">
        <f t="shared" ref="AL51" si="15">IF(AK51=0,0,ROUND(AJ51/AK51/12,0))</f>
        <v>45369</v>
      </c>
      <c r="AM51" s="11" t="s">
        <v>63</v>
      </c>
      <c r="AN51" s="20">
        <f>SUM(AN6:AN49)</f>
        <v>165030554369.67999</v>
      </c>
      <c r="AO51" s="187">
        <f t="shared" ref="AO51:AQ51" si="16">SUM(AO6:AO49)</f>
        <v>3524518533.8400002</v>
      </c>
      <c r="AP51" s="187">
        <f t="shared" si="16"/>
        <v>161506035835.84</v>
      </c>
      <c r="AQ51" s="187">
        <f t="shared" si="16"/>
        <v>295351.12000000005</v>
      </c>
      <c r="AR51" s="187">
        <f t="shared" ref="AR51" si="17">IF(AQ51=0,0,ROUND(AP51/AQ51/12,0))</f>
        <v>45569</v>
      </c>
      <c r="AS51" s="11" t="s">
        <v>63</v>
      </c>
      <c r="AT51" s="40"/>
      <c r="AU51" s="25"/>
    </row>
    <row r="52" spans="1:47" ht="21" customHeight="1" thickBot="1">
      <c r="A52" s="346"/>
      <c r="B52" s="347"/>
      <c r="C52" s="36"/>
      <c r="D52" s="44"/>
      <c r="E52" s="21"/>
      <c r="F52" s="171"/>
      <c r="G52" s="171"/>
      <c r="H52" s="171"/>
      <c r="I52" s="22"/>
      <c r="J52" s="23"/>
      <c r="K52" s="23"/>
      <c r="L52" s="21"/>
      <c r="M52" s="22"/>
      <c r="N52" s="22"/>
      <c r="O52" s="22"/>
      <c r="P52" s="22"/>
      <c r="Q52" s="23"/>
      <c r="R52" s="21"/>
      <c r="S52" s="22"/>
      <c r="T52" s="22"/>
      <c r="U52" s="22"/>
      <c r="V52" s="22"/>
      <c r="W52" s="23"/>
      <c r="X52" s="21"/>
      <c r="Y52" s="23"/>
      <c r="AA52" s="21"/>
      <c r="AB52" s="171"/>
      <c r="AC52" s="171"/>
      <c r="AD52" s="171"/>
      <c r="AE52" s="22"/>
      <c r="AF52" s="23"/>
      <c r="AG52" s="23"/>
      <c r="AH52" s="21"/>
      <c r="AI52" s="22"/>
      <c r="AJ52" s="22"/>
      <c r="AK52" s="22"/>
      <c r="AL52" s="22"/>
      <c r="AM52" s="23"/>
      <c r="AN52" s="21"/>
      <c r="AO52" s="22"/>
      <c r="AP52" s="22"/>
      <c r="AQ52" s="22"/>
      <c r="AR52" s="22"/>
      <c r="AS52" s="23"/>
      <c r="AT52" s="21"/>
      <c r="AU52" s="23"/>
    </row>
    <row r="54" spans="1:47">
      <c r="A54" s="9"/>
      <c r="B54" s="9"/>
      <c r="C54" s="16"/>
      <c r="D54" s="16"/>
      <c r="E54" s="9" t="b">
        <f>E51=SUMAR!E13</f>
        <v>1</v>
      </c>
      <c r="F54" s="9" t="b">
        <f>ROUND(F51,0)=ROUND(SUMAR!F13,0)</f>
        <v>1</v>
      </c>
      <c r="G54" s="9"/>
      <c r="H54" s="9" t="b">
        <f>H51=SUMAR!H13</f>
        <v>1</v>
      </c>
      <c r="I54" s="9" t="b">
        <f>ROUND(I51,1)=ROUND(SUMAR!I13,1)</f>
        <v>1</v>
      </c>
      <c r="J54" s="9"/>
      <c r="K54" s="9"/>
      <c r="L54" s="9" t="b">
        <f>ROUND(L51,0)=ROUND(SUMAR!L13,0)</f>
        <v>1</v>
      </c>
      <c r="M54" s="9" t="b">
        <f>M51=SUMAR!M13</f>
        <v>1</v>
      </c>
      <c r="N54" s="9" t="b">
        <f>N51=SUMAR!N13</f>
        <v>1</v>
      </c>
      <c r="O54" s="9" t="b">
        <f>O51=SUMAR!O13</f>
        <v>1</v>
      </c>
      <c r="P54" s="9"/>
      <c r="Q54" s="9"/>
      <c r="R54" s="9"/>
      <c r="S54" s="9" t="b">
        <f>S51=SUMAR!S13</f>
        <v>1</v>
      </c>
      <c r="T54" s="9" t="b">
        <f>T51=SUMAR!T13</f>
        <v>1</v>
      </c>
      <c r="U54" s="9" t="b">
        <f>U51=SUMAR!U13</f>
        <v>1</v>
      </c>
      <c r="V54" s="9" t="b">
        <f>ROUND(V51,0)=ROUND(SUMAR!V13,0)</f>
        <v>1</v>
      </c>
      <c r="W54" s="9"/>
      <c r="X54" s="9"/>
      <c r="Y54" s="9"/>
      <c r="AA54" s="9" t="b">
        <f>AA51=SUMAR!AA13</f>
        <v>1</v>
      </c>
      <c r="AB54" s="9" t="b">
        <f>AB51=SUMAR!AB13</f>
        <v>1</v>
      </c>
      <c r="AC54" s="9" t="b">
        <f>AC51=SUMAR!AC13</f>
        <v>1</v>
      </c>
      <c r="AD54" s="9" t="b">
        <f>AD51=SUMAR!AD13</f>
        <v>1</v>
      </c>
      <c r="AE54" s="9" t="b">
        <f>ROUND(AE51,0)=ROUND(SUMAR!AE13,0)</f>
        <v>1</v>
      </c>
      <c r="AF54" s="9"/>
      <c r="AG54" s="9"/>
      <c r="AH54" s="9" t="b">
        <f>AH51=SUMAR!AH13</f>
        <v>1</v>
      </c>
      <c r="AI54" s="9" t="b">
        <f>AI51=SUMAR!AI13</f>
        <v>1</v>
      </c>
      <c r="AJ54" s="9" t="b">
        <f>AJ51=SUMAR!AJ13</f>
        <v>1</v>
      </c>
      <c r="AK54" s="9" t="b">
        <f>AK51=SUMAR!AK13</f>
        <v>1</v>
      </c>
      <c r="AL54" s="9" t="b">
        <f>ROUND(AL51,0)=ROUND(SUMAR!AL13,0)</f>
        <v>1</v>
      </c>
      <c r="AM54" s="9"/>
      <c r="AN54" s="9" t="b">
        <f>AN51=SUMAR!AN13</f>
        <v>1</v>
      </c>
      <c r="AO54" s="9" t="b">
        <f>AO51=SUMAR!AO13</f>
        <v>1</v>
      </c>
      <c r="AP54" s="9" t="b">
        <f>AP51=SUMAR!AP13</f>
        <v>1</v>
      </c>
      <c r="AQ54" s="9" t="b">
        <f>AQ51=SUMAR!AQ13</f>
        <v>1</v>
      </c>
      <c r="AR54" s="9" t="b">
        <f>ROUND(AR51,0)=ROUND(SUMAR!AR13,0)</f>
        <v>1</v>
      </c>
      <c r="AS54" s="9"/>
      <c r="AT54" s="9"/>
      <c r="AU54" s="9"/>
    </row>
    <row r="56" spans="1:47">
      <c r="E56" s="9"/>
      <c r="K56" s="9"/>
      <c r="X56" s="9"/>
      <c r="Y56" s="9"/>
      <c r="AG56" s="9"/>
      <c r="AT56" s="9"/>
      <c r="AU56" s="9"/>
    </row>
    <row r="57" spans="1:47">
      <c r="I57" s="60"/>
    </row>
    <row r="58" spans="1:47">
      <c r="E58" s="9"/>
      <c r="K58" s="9"/>
      <c r="X58" s="9"/>
      <c r="Y58" s="9"/>
      <c r="AG58" s="9"/>
      <c r="AT58" s="9"/>
      <c r="AU58" s="9"/>
    </row>
  </sheetData>
  <mergeCells count="61">
    <mergeCell ref="AT1:AU2"/>
    <mergeCell ref="AT3:AT5"/>
    <mergeCell ref="AU3:AU5"/>
    <mergeCell ref="X1:Y2"/>
    <mergeCell ref="X3:X5"/>
    <mergeCell ref="Y3:Y5"/>
    <mergeCell ref="L3:L5"/>
    <mergeCell ref="M3:N3"/>
    <mergeCell ref="O3:O5"/>
    <mergeCell ref="P3:P5"/>
    <mergeCell ref="A50:B52"/>
    <mergeCell ref="A1:A5"/>
    <mergeCell ref="B1:B5"/>
    <mergeCell ref="K1:K2"/>
    <mergeCell ref="K3:K5"/>
    <mergeCell ref="M4:M5"/>
    <mergeCell ref="N4:N5"/>
    <mergeCell ref="S4:S5"/>
    <mergeCell ref="T4:T5"/>
    <mergeCell ref="R3:R5"/>
    <mergeCell ref="S3:T3"/>
    <mergeCell ref="E3:E5"/>
    <mergeCell ref="F3:G3"/>
    <mergeCell ref="H3:H5"/>
    <mergeCell ref="I3:I5"/>
    <mergeCell ref="J3:J5"/>
    <mergeCell ref="F4:F5"/>
    <mergeCell ref="G4:G5"/>
    <mergeCell ref="AN1:AS2"/>
    <mergeCell ref="AB3:AC3"/>
    <mergeCell ref="AD3:AD5"/>
    <mergeCell ref="AE3:AE5"/>
    <mergeCell ref="AF3:AF5"/>
    <mergeCell ref="AH3:AH5"/>
    <mergeCell ref="AI3:AJ3"/>
    <mergeCell ref="AK3:AK5"/>
    <mergeCell ref="AL3:AL5"/>
    <mergeCell ref="AM3:AM5"/>
    <mergeCell ref="AN3:AN5"/>
    <mergeCell ref="AO3:AP3"/>
    <mergeCell ref="AQ3:AQ5"/>
    <mergeCell ref="AR3:AR5"/>
    <mergeCell ref="AS3:AS5"/>
    <mergeCell ref="AB4:AB5"/>
    <mergeCell ref="E1:J2"/>
    <mergeCell ref="L1:Q2"/>
    <mergeCell ref="R1:W2"/>
    <mergeCell ref="AA1:AF2"/>
    <mergeCell ref="AH1:AM2"/>
    <mergeCell ref="AG1:AG2"/>
    <mergeCell ref="AI4:AI5"/>
    <mergeCell ref="AJ4:AJ5"/>
    <mergeCell ref="AO4:AO5"/>
    <mergeCell ref="AP4:AP5"/>
    <mergeCell ref="Q3:Q5"/>
    <mergeCell ref="AC4:AC5"/>
    <mergeCell ref="U3:U5"/>
    <mergeCell ref="V3:V5"/>
    <mergeCell ref="W3:W5"/>
    <mergeCell ref="AA3:AA5"/>
    <mergeCell ref="AG3:AG5"/>
  </mergeCells>
  <printOptions horizontalCentered="1" verticalCentered="1"/>
  <pageMargins left="0.59055118110236227" right="0.51181102362204722" top="0.39370078740157483" bottom="0.19685039370078741" header="0.39370078740157483" footer="0.19685039370078741"/>
  <pageSetup paperSize="9" scale="55" pageOrder="overThenDown" orientation="landscape"/>
  <headerFooter alignWithMargins="0">
    <oddHeader>&amp;C&amp;"Arial CE,tučné"Přehled o vývoji počtu zaměstnanců a objemech mezd od roku  1 9 9 3
za   R O P O  c e l k e m
&amp;R&amp;A   -   &amp;F</oddHeader>
    <oddFooter>&amp;C6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List4"/>
  <dimension ref="A1:AU138"/>
  <sheetViews>
    <sheetView zoomScale="90" zoomScaleNormal="90" workbookViewId="0">
      <pane xSplit="3" ySplit="5" topLeftCell="T10" activePane="bottomRight" state="frozen"/>
      <selection activeCell="HC12" sqref="HC12"/>
      <selection pane="topRight" activeCell="HC12" sqref="HC12"/>
      <selection pane="bottomLeft" activeCell="HC12" sqref="HC12"/>
      <selection pane="bottomRight" activeCell="X1" sqref="X1:Y1048576"/>
    </sheetView>
  </sheetViews>
  <sheetFormatPr baseColWidth="10" defaultColWidth="11.5" defaultRowHeight="13"/>
  <cols>
    <col min="1" max="1" width="9.33203125" style="6" customWidth="1"/>
    <col min="2" max="2" width="11.6640625" style="6" customWidth="1"/>
    <col min="3" max="3" width="37" style="13" customWidth="1"/>
    <col min="4" max="4" width="2" style="13" customWidth="1"/>
    <col min="5" max="5" width="15.83203125" style="6" customWidth="1"/>
    <col min="6" max="6" width="16.6640625" style="172" customWidth="1"/>
    <col min="7" max="7" width="16.5" style="172" customWidth="1"/>
    <col min="8" max="8" width="12.83203125" style="172" customWidth="1"/>
    <col min="9" max="10" width="11.5" style="6" customWidth="1"/>
    <col min="11" max="11" width="11.5" style="6"/>
    <col min="12" max="12" width="14.6640625" style="6" customWidth="1"/>
    <col min="13" max="13" width="14.33203125" style="6" bestFit="1" customWidth="1"/>
    <col min="14" max="14" width="14.83203125" style="6" customWidth="1"/>
    <col min="15" max="15" width="13.33203125" style="6" customWidth="1"/>
    <col min="16" max="17" width="9.1640625" style="6" customWidth="1"/>
    <col min="18" max="18" width="15.83203125" style="6" customWidth="1"/>
    <col min="19" max="19" width="14" style="6" customWidth="1"/>
    <col min="20" max="20" width="22.5" style="6" bestFit="1" customWidth="1"/>
    <col min="21" max="21" width="12.6640625" style="6" customWidth="1"/>
    <col min="22" max="23" width="9.1640625" style="6" customWidth="1"/>
    <col min="24" max="25" width="11.5" style="6"/>
    <col min="26" max="26" width="9.1640625" customWidth="1"/>
    <col min="27" max="27" width="16.6640625" style="6" customWidth="1"/>
    <col min="28" max="28" width="14.83203125" style="6" customWidth="1"/>
    <col min="29" max="29" width="15.5" style="6" customWidth="1"/>
    <col min="30" max="33" width="11.5" style="6"/>
    <col min="34" max="34" width="16.5" style="6" customWidth="1"/>
    <col min="35" max="35" width="14.33203125" style="6" customWidth="1"/>
    <col min="36" max="36" width="16.1640625" style="6" customWidth="1"/>
    <col min="37" max="39" width="11.5" style="6"/>
    <col min="40" max="40" width="15.83203125" style="6" customWidth="1"/>
    <col min="41" max="41" width="14.1640625" style="6" customWidth="1"/>
    <col min="42" max="42" width="15.83203125" style="6" customWidth="1"/>
    <col min="43" max="47" width="11.5" style="6"/>
  </cols>
  <sheetData>
    <row r="1" spans="1:47" ht="14" customHeight="1" thickTop="1">
      <c r="A1" s="323" t="s">
        <v>131</v>
      </c>
      <c r="B1" s="348" t="s">
        <v>132</v>
      </c>
      <c r="C1" s="28"/>
      <c r="D1" s="54"/>
      <c r="E1" s="310" t="s">
        <v>220</v>
      </c>
      <c r="F1" s="311"/>
      <c r="G1" s="311"/>
      <c r="H1" s="311"/>
      <c r="I1" s="311"/>
      <c r="J1" s="312"/>
      <c r="K1" s="370" t="s">
        <v>162</v>
      </c>
      <c r="L1" s="310" t="s">
        <v>221</v>
      </c>
      <c r="M1" s="311"/>
      <c r="N1" s="311"/>
      <c r="O1" s="311"/>
      <c r="P1" s="311"/>
      <c r="Q1" s="312"/>
      <c r="R1" s="310" t="s">
        <v>222</v>
      </c>
      <c r="S1" s="311"/>
      <c r="T1" s="311"/>
      <c r="U1" s="311"/>
      <c r="V1" s="311"/>
      <c r="W1" s="312"/>
      <c r="X1" s="372" t="s">
        <v>162</v>
      </c>
      <c r="Y1" s="373"/>
      <c r="AA1" s="310" t="s">
        <v>224</v>
      </c>
      <c r="AB1" s="311"/>
      <c r="AC1" s="311"/>
      <c r="AD1" s="311"/>
      <c r="AE1" s="311"/>
      <c r="AF1" s="312"/>
      <c r="AG1" s="370" t="s">
        <v>162</v>
      </c>
      <c r="AH1" s="310" t="s">
        <v>225</v>
      </c>
      <c r="AI1" s="311"/>
      <c r="AJ1" s="311"/>
      <c r="AK1" s="311"/>
      <c r="AL1" s="311"/>
      <c r="AM1" s="312"/>
      <c r="AN1" s="310" t="s">
        <v>226</v>
      </c>
      <c r="AO1" s="311"/>
      <c r="AP1" s="311"/>
      <c r="AQ1" s="311"/>
      <c r="AR1" s="311"/>
      <c r="AS1" s="312"/>
      <c r="AT1" s="372" t="s">
        <v>162</v>
      </c>
      <c r="AU1" s="373"/>
    </row>
    <row r="2" spans="1:47" ht="26.25" customHeight="1" thickBot="1">
      <c r="A2" s="324"/>
      <c r="B2" s="349"/>
      <c r="C2" s="29"/>
      <c r="D2" s="55"/>
      <c r="E2" s="313"/>
      <c r="F2" s="314"/>
      <c r="G2" s="314"/>
      <c r="H2" s="314"/>
      <c r="I2" s="314"/>
      <c r="J2" s="315"/>
      <c r="K2" s="371"/>
      <c r="L2" s="313"/>
      <c r="M2" s="314"/>
      <c r="N2" s="314"/>
      <c r="O2" s="314"/>
      <c r="P2" s="314"/>
      <c r="Q2" s="315"/>
      <c r="R2" s="313"/>
      <c r="S2" s="314"/>
      <c r="T2" s="314"/>
      <c r="U2" s="314"/>
      <c r="V2" s="314"/>
      <c r="W2" s="315"/>
      <c r="X2" s="374"/>
      <c r="Y2" s="375"/>
      <c r="AA2" s="313"/>
      <c r="AB2" s="314"/>
      <c r="AC2" s="314"/>
      <c r="AD2" s="314"/>
      <c r="AE2" s="314"/>
      <c r="AF2" s="315"/>
      <c r="AG2" s="371"/>
      <c r="AH2" s="313"/>
      <c r="AI2" s="314"/>
      <c r="AJ2" s="314"/>
      <c r="AK2" s="314"/>
      <c r="AL2" s="314"/>
      <c r="AM2" s="315"/>
      <c r="AN2" s="313"/>
      <c r="AO2" s="314"/>
      <c r="AP2" s="314"/>
      <c r="AQ2" s="314"/>
      <c r="AR2" s="314"/>
      <c r="AS2" s="315"/>
      <c r="AT2" s="374"/>
      <c r="AU2" s="375"/>
    </row>
    <row r="3" spans="1:47" ht="14" customHeight="1" thickBot="1">
      <c r="A3" s="324"/>
      <c r="B3" s="349"/>
      <c r="C3" s="30" t="s">
        <v>0</v>
      </c>
      <c r="D3" s="56"/>
      <c r="E3" s="392" t="s">
        <v>181</v>
      </c>
      <c r="F3" s="385" t="s">
        <v>1</v>
      </c>
      <c r="G3" s="386"/>
      <c r="H3" s="387" t="s">
        <v>134</v>
      </c>
      <c r="I3" s="329" t="s">
        <v>183</v>
      </c>
      <c r="J3" s="332" t="s">
        <v>135</v>
      </c>
      <c r="K3" s="382" t="s">
        <v>149</v>
      </c>
      <c r="L3" s="337" t="s">
        <v>181</v>
      </c>
      <c r="M3" s="340" t="s">
        <v>1</v>
      </c>
      <c r="N3" s="341"/>
      <c r="O3" s="329" t="s">
        <v>134</v>
      </c>
      <c r="P3" s="329" t="s">
        <v>183</v>
      </c>
      <c r="Q3" s="332" t="s">
        <v>135</v>
      </c>
      <c r="R3" s="337" t="s">
        <v>181</v>
      </c>
      <c r="S3" s="340" t="s">
        <v>1</v>
      </c>
      <c r="T3" s="341"/>
      <c r="U3" s="329" t="s">
        <v>134</v>
      </c>
      <c r="V3" s="329" t="s">
        <v>183</v>
      </c>
      <c r="W3" s="332" t="s">
        <v>135</v>
      </c>
      <c r="X3" s="376" t="s">
        <v>150</v>
      </c>
      <c r="Y3" s="379" t="s">
        <v>151</v>
      </c>
      <c r="AA3" s="392" t="s">
        <v>181</v>
      </c>
      <c r="AB3" s="385" t="s">
        <v>1</v>
      </c>
      <c r="AC3" s="386"/>
      <c r="AD3" s="387" t="s">
        <v>134</v>
      </c>
      <c r="AE3" s="329" t="s">
        <v>183</v>
      </c>
      <c r="AF3" s="332" t="s">
        <v>135</v>
      </c>
      <c r="AG3" s="382" t="s">
        <v>149</v>
      </c>
      <c r="AH3" s="337" t="s">
        <v>181</v>
      </c>
      <c r="AI3" s="340" t="s">
        <v>1</v>
      </c>
      <c r="AJ3" s="341"/>
      <c r="AK3" s="329" t="s">
        <v>134</v>
      </c>
      <c r="AL3" s="329" t="s">
        <v>183</v>
      </c>
      <c r="AM3" s="332" t="s">
        <v>135</v>
      </c>
      <c r="AN3" s="337" t="s">
        <v>181</v>
      </c>
      <c r="AO3" s="340" t="s">
        <v>1</v>
      </c>
      <c r="AP3" s="341"/>
      <c r="AQ3" s="329" t="s">
        <v>134</v>
      </c>
      <c r="AR3" s="329" t="s">
        <v>183</v>
      </c>
      <c r="AS3" s="332" t="s">
        <v>135</v>
      </c>
      <c r="AT3" s="376" t="s">
        <v>150</v>
      </c>
      <c r="AU3" s="379" t="s">
        <v>151</v>
      </c>
    </row>
    <row r="4" spans="1:47" ht="12.75" customHeight="1">
      <c r="A4" s="324"/>
      <c r="B4" s="349"/>
      <c r="C4" s="31" t="s">
        <v>2</v>
      </c>
      <c r="D4" s="57"/>
      <c r="E4" s="393"/>
      <c r="F4" s="390" t="s">
        <v>182</v>
      </c>
      <c r="G4" s="387" t="s">
        <v>133</v>
      </c>
      <c r="H4" s="388"/>
      <c r="I4" s="330"/>
      <c r="J4" s="333"/>
      <c r="K4" s="383"/>
      <c r="L4" s="338"/>
      <c r="M4" s="335" t="s">
        <v>182</v>
      </c>
      <c r="N4" s="329" t="s">
        <v>133</v>
      </c>
      <c r="O4" s="330"/>
      <c r="P4" s="330"/>
      <c r="Q4" s="333"/>
      <c r="R4" s="338"/>
      <c r="S4" s="335" t="s">
        <v>182</v>
      </c>
      <c r="T4" s="329" t="s">
        <v>133</v>
      </c>
      <c r="U4" s="330"/>
      <c r="V4" s="330"/>
      <c r="W4" s="333"/>
      <c r="X4" s="377"/>
      <c r="Y4" s="380"/>
      <c r="AA4" s="393"/>
      <c r="AB4" s="390" t="s">
        <v>182</v>
      </c>
      <c r="AC4" s="387" t="s">
        <v>133</v>
      </c>
      <c r="AD4" s="388"/>
      <c r="AE4" s="330"/>
      <c r="AF4" s="333"/>
      <c r="AG4" s="383"/>
      <c r="AH4" s="338"/>
      <c r="AI4" s="335" t="s">
        <v>182</v>
      </c>
      <c r="AJ4" s="329" t="s">
        <v>133</v>
      </c>
      <c r="AK4" s="330"/>
      <c r="AL4" s="330"/>
      <c r="AM4" s="333"/>
      <c r="AN4" s="338"/>
      <c r="AO4" s="335" t="s">
        <v>182</v>
      </c>
      <c r="AP4" s="329" t="s">
        <v>133</v>
      </c>
      <c r="AQ4" s="330"/>
      <c r="AR4" s="330"/>
      <c r="AS4" s="333"/>
      <c r="AT4" s="377"/>
      <c r="AU4" s="380"/>
    </row>
    <row r="5" spans="1:47" ht="14" customHeight="1" thickBot="1">
      <c r="A5" s="325"/>
      <c r="B5" s="350"/>
      <c r="C5" s="32"/>
      <c r="D5" s="56"/>
      <c r="E5" s="394"/>
      <c r="F5" s="391"/>
      <c r="G5" s="389"/>
      <c r="H5" s="389"/>
      <c r="I5" s="331"/>
      <c r="J5" s="334"/>
      <c r="K5" s="384"/>
      <c r="L5" s="339"/>
      <c r="M5" s="336"/>
      <c r="N5" s="331"/>
      <c r="O5" s="331"/>
      <c r="P5" s="331"/>
      <c r="Q5" s="334"/>
      <c r="R5" s="339"/>
      <c r="S5" s="336"/>
      <c r="T5" s="331"/>
      <c r="U5" s="331"/>
      <c r="V5" s="331"/>
      <c r="W5" s="334"/>
      <c r="X5" s="378"/>
      <c r="Y5" s="381"/>
      <c r="AA5" s="394"/>
      <c r="AB5" s="391"/>
      <c r="AC5" s="389"/>
      <c r="AD5" s="389"/>
      <c r="AE5" s="331"/>
      <c r="AF5" s="334"/>
      <c r="AG5" s="384"/>
      <c r="AH5" s="339"/>
      <c r="AI5" s="336"/>
      <c r="AJ5" s="331"/>
      <c r="AK5" s="331"/>
      <c r="AL5" s="331"/>
      <c r="AM5" s="334"/>
      <c r="AN5" s="339"/>
      <c r="AO5" s="336"/>
      <c r="AP5" s="331"/>
      <c r="AQ5" s="331"/>
      <c r="AR5" s="331"/>
      <c r="AS5" s="334"/>
      <c r="AT5" s="378"/>
      <c r="AU5" s="381"/>
    </row>
    <row r="6" spans="1:47" ht="18" customHeight="1" thickTop="1">
      <c r="A6" s="65">
        <v>301</v>
      </c>
      <c r="B6" s="68" t="s">
        <v>3</v>
      </c>
      <c r="C6" s="33" t="s">
        <v>4</v>
      </c>
      <c r="D6" s="41"/>
      <c r="E6" s="75">
        <v>118484304</v>
      </c>
      <c r="F6" s="76">
        <v>6709021</v>
      </c>
      <c r="G6" s="76">
        <v>111775283</v>
      </c>
      <c r="H6" s="76">
        <v>162</v>
      </c>
      <c r="I6" s="76">
        <v>57498</v>
      </c>
      <c r="J6" s="77">
        <f t="shared" ref="J6:J48" si="0">RANK(I6,I$6:I$48,0)</f>
        <v>2</v>
      </c>
      <c r="K6" s="38"/>
      <c r="L6" s="75">
        <v>118484304</v>
      </c>
      <c r="M6" s="76">
        <v>6709021</v>
      </c>
      <c r="N6" s="76">
        <v>111775283</v>
      </c>
      <c r="O6" s="76">
        <v>162</v>
      </c>
      <c r="P6" s="76">
        <v>57498</v>
      </c>
      <c r="Q6" s="77">
        <f t="shared" ref="Q6:Q48" si="1">RANK(P6,P$6:P$48,0)</f>
        <v>2</v>
      </c>
      <c r="R6" s="75">
        <v>117677550</v>
      </c>
      <c r="S6" s="76">
        <v>5799886</v>
      </c>
      <c r="T6" s="76">
        <v>111877664</v>
      </c>
      <c r="U6" s="76">
        <v>147.33000000000001</v>
      </c>
      <c r="V6" s="76">
        <v>63281</v>
      </c>
      <c r="W6" s="77">
        <f t="shared" ref="W6:W48" si="2">RANK(V6,V$6:V$48,0)</f>
        <v>2</v>
      </c>
      <c r="X6" s="37"/>
      <c r="Y6" s="38"/>
      <c r="AA6" s="75">
        <v>124634668</v>
      </c>
      <c r="AB6" s="76">
        <v>7270621</v>
      </c>
      <c r="AC6" s="76">
        <v>117364047</v>
      </c>
      <c r="AD6" s="76">
        <v>162</v>
      </c>
      <c r="AE6" s="76">
        <v>60372</v>
      </c>
      <c r="AF6" s="77">
        <f t="shared" ref="AF6:AF48" si="3">RANK(AE6,AE$6:AE$48,0)</f>
        <v>3</v>
      </c>
      <c r="AG6" s="38"/>
      <c r="AH6" s="75">
        <v>124634668</v>
      </c>
      <c r="AI6" s="76">
        <v>7270621</v>
      </c>
      <c r="AJ6" s="76">
        <v>117364047</v>
      </c>
      <c r="AK6" s="76">
        <v>162</v>
      </c>
      <c r="AL6" s="76">
        <v>60372</v>
      </c>
      <c r="AM6" s="77">
        <f t="shared" ref="AM6:AM48" si="4">RANK(AL6,AL$6:AL$48,0)</f>
        <v>3</v>
      </c>
      <c r="AN6" s="75">
        <v>128324691</v>
      </c>
      <c r="AO6" s="76">
        <v>6371429</v>
      </c>
      <c r="AP6" s="76">
        <v>121953262</v>
      </c>
      <c r="AQ6" s="76">
        <v>151.86000000000001</v>
      </c>
      <c r="AR6" s="76">
        <v>66922</v>
      </c>
      <c r="AS6" s="77">
        <f t="shared" ref="AS6:AS48" si="5">RANK(AR6,AR$6:AR$48,0)</f>
        <v>3</v>
      </c>
      <c r="AT6" s="37"/>
      <c r="AU6" s="38"/>
    </row>
    <row r="7" spans="1:47" ht="18" customHeight="1">
      <c r="A7" s="65">
        <v>302</v>
      </c>
      <c r="B7" s="68" t="s">
        <v>5</v>
      </c>
      <c r="C7" s="33" t="s">
        <v>6</v>
      </c>
      <c r="D7" s="41"/>
      <c r="E7" s="75">
        <v>552557633</v>
      </c>
      <c r="F7" s="76">
        <v>320950304</v>
      </c>
      <c r="G7" s="76">
        <v>231607329</v>
      </c>
      <c r="H7" s="76">
        <v>360</v>
      </c>
      <c r="I7" s="76">
        <v>53613</v>
      </c>
      <c r="J7" s="77">
        <f t="shared" si="0"/>
        <v>5</v>
      </c>
      <c r="K7" s="26"/>
      <c r="L7" s="24">
        <v>543589023</v>
      </c>
      <c r="M7" s="14">
        <v>311981694</v>
      </c>
      <c r="N7" s="14">
        <v>231607329</v>
      </c>
      <c r="O7" s="14">
        <v>360</v>
      </c>
      <c r="P7" s="14">
        <v>53613</v>
      </c>
      <c r="Q7" s="77">
        <f t="shared" si="1"/>
        <v>5</v>
      </c>
      <c r="R7" s="24">
        <v>542209624</v>
      </c>
      <c r="S7" s="14">
        <v>295407844</v>
      </c>
      <c r="T7" s="14">
        <v>246801780</v>
      </c>
      <c r="U7" s="14">
        <v>350.18</v>
      </c>
      <c r="V7" s="14">
        <v>58732</v>
      </c>
      <c r="W7" s="77">
        <f t="shared" si="2"/>
        <v>4</v>
      </c>
      <c r="X7" s="37"/>
      <c r="Y7" s="38"/>
      <c r="AA7" s="75">
        <v>608771243</v>
      </c>
      <c r="AB7" s="76">
        <v>365583548</v>
      </c>
      <c r="AC7" s="76">
        <v>243187695</v>
      </c>
      <c r="AD7" s="76">
        <v>360</v>
      </c>
      <c r="AE7" s="76">
        <v>56293</v>
      </c>
      <c r="AF7" s="77">
        <f t="shared" si="3"/>
        <v>5</v>
      </c>
      <c r="AG7" s="26"/>
      <c r="AH7" s="24">
        <v>608771243</v>
      </c>
      <c r="AI7" s="14">
        <v>350583548</v>
      </c>
      <c r="AJ7" s="14">
        <v>258187695</v>
      </c>
      <c r="AK7" s="14">
        <v>360</v>
      </c>
      <c r="AL7" s="14">
        <v>59766</v>
      </c>
      <c r="AM7" s="77">
        <f t="shared" si="4"/>
        <v>4</v>
      </c>
      <c r="AN7" s="24">
        <v>588409387</v>
      </c>
      <c r="AO7" s="14">
        <v>315948518</v>
      </c>
      <c r="AP7" s="14">
        <v>272460869</v>
      </c>
      <c r="AQ7" s="14">
        <v>353.85</v>
      </c>
      <c r="AR7" s="14">
        <v>64166</v>
      </c>
      <c r="AS7" s="77">
        <f t="shared" si="5"/>
        <v>5</v>
      </c>
      <c r="AT7" s="37"/>
      <c r="AU7" s="38"/>
    </row>
    <row r="8" spans="1:47" ht="18" customHeight="1">
      <c r="A8" s="65">
        <v>303</v>
      </c>
      <c r="B8" s="68" t="s">
        <v>7</v>
      </c>
      <c r="C8" s="33" t="s">
        <v>8</v>
      </c>
      <c r="D8" s="41"/>
      <c r="E8" s="75">
        <v>269729032</v>
      </c>
      <c r="F8" s="76">
        <v>147988022</v>
      </c>
      <c r="G8" s="76">
        <v>121741010</v>
      </c>
      <c r="H8" s="76">
        <v>203</v>
      </c>
      <c r="I8" s="76">
        <v>49976</v>
      </c>
      <c r="J8" s="77">
        <f t="shared" si="0"/>
        <v>9</v>
      </c>
      <c r="K8" s="26"/>
      <c r="L8" s="24">
        <v>269729032</v>
      </c>
      <c r="M8" s="14">
        <v>147988022</v>
      </c>
      <c r="N8" s="14">
        <v>121741010</v>
      </c>
      <c r="O8" s="14">
        <v>203</v>
      </c>
      <c r="P8" s="14">
        <v>49976</v>
      </c>
      <c r="Q8" s="77">
        <f t="shared" si="1"/>
        <v>9</v>
      </c>
      <c r="R8" s="24">
        <v>257044581</v>
      </c>
      <c r="S8" s="14">
        <v>129848776</v>
      </c>
      <c r="T8" s="14">
        <v>127195805</v>
      </c>
      <c r="U8" s="14">
        <v>192.12</v>
      </c>
      <c r="V8" s="14">
        <v>55172</v>
      </c>
      <c r="W8" s="77">
        <f t="shared" si="2"/>
        <v>7</v>
      </c>
      <c r="X8" s="37"/>
      <c r="Y8" s="38"/>
      <c r="AA8" s="75">
        <v>285727130</v>
      </c>
      <c r="AB8" s="76">
        <v>149499069</v>
      </c>
      <c r="AC8" s="76">
        <v>136228061</v>
      </c>
      <c r="AD8" s="76">
        <v>203</v>
      </c>
      <c r="AE8" s="76">
        <v>55923</v>
      </c>
      <c r="AF8" s="77">
        <f t="shared" si="3"/>
        <v>6</v>
      </c>
      <c r="AG8" s="26"/>
      <c r="AH8" s="24">
        <v>285727130</v>
      </c>
      <c r="AI8" s="14">
        <v>149499069</v>
      </c>
      <c r="AJ8" s="14">
        <v>136228061</v>
      </c>
      <c r="AK8" s="14">
        <v>203</v>
      </c>
      <c r="AL8" s="14">
        <v>55923</v>
      </c>
      <c r="AM8" s="77">
        <f t="shared" si="4"/>
        <v>6</v>
      </c>
      <c r="AN8" s="24">
        <v>288969406</v>
      </c>
      <c r="AO8" s="14">
        <v>148353620</v>
      </c>
      <c r="AP8" s="14">
        <v>140615786</v>
      </c>
      <c r="AQ8" s="14">
        <v>191.55</v>
      </c>
      <c r="AR8" s="14">
        <v>61175</v>
      </c>
      <c r="AS8" s="77">
        <f t="shared" si="5"/>
        <v>6</v>
      </c>
      <c r="AT8" s="37"/>
      <c r="AU8" s="38"/>
    </row>
    <row r="9" spans="1:47" ht="18" customHeight="1">
      <c r="A9" s="65">
        <v>304</v>
      </c>
      <c r="B9" s="68" t="s">
        <v>9</v>
      </c>
      <c r="C9" s="33" t="s">
        <v>10</v>
      </c>
      <c r="D9" s="41"/>
      <c r="E9" s="75">
        <v>0</v>
      </c>
      <c r="F9" s="76">
        <v>0</v>
      </c>
      <c r="G9" s="76">
        <v>0</v>
      </c>
      <c r="H9" s="76">
        <v>0</v>
      </c>
      <c r="I9" s="76">
        <v>0</v>
      </c>
      <c r="J9" s="77">
        <f t="shared" si="0"/>
        <v>24</v>
      </c>
      <c r="K9" s="26"/>
      <c r="L9" s="24">
        <v>0</v>
      </c>
      <c r="M9" s="14">
        <v>0</v>
      </c>
      <c r="N9" s="14">
        <v>0</v>
      </c>
      <c r="O9" s="14">
        <v>0</v>
      </c>
      <c r="P9" s="14">
        <v>0</v>
      </c>
      <c r="Q9" s="77">
        <f t="shared" si="1"/>
        <v>24</v>
      </c>
      <c r="R9" s="24">
        <v>0</v>
      </c>
      <c r="S9" s="14">
        <v>0</v>
      </c>
      <c r="T9" s="14">
        <v>0</v>
      </c>
      <c r="U9" s="14">
        <v>0</v>
      </c>
      <c r="V9" s="14">
        <v>0</v>
      </c>
      <c r="W9" s="77">
        <f t="shared" si="2"/>
        <v>24</v>
      </c>
      <c r="X9" s="37"/>
      <c r="Y9" s="38"/>
      <c r="AA9" s="75">
        <v>0</v>
      </c>
      <c r="AB9" s="76">
        <v>0</v>
      </c>
      <c r="AC9" s="76">
        <v>0</v>
      </c>
      <c r="AD9" s="76">
        <v>0</v>
      </c>
      <c r="AE9" s="76">
        <v>0</v>
      </c>
      <c r="AF9" s="77">
        <f t="shared" si="3"/>
        <v>24</v>
      </c>
      <c r="AG9" s="26"/>
      <c r="AH9" s="24">
        <v>0</v>
      </c>
      <c r="AI9" s="14">
        <v>0</v>
      </c>
      <c r="AJ9" s="14">
        <v>0</v>
      </c>
      <c r="AK9" s="14">
        <v>0</v>
      </c>
      <c r="AL9" s="14">
        <v>0</v>
      </c>
      <c r="AM9" s="77">
        <f t="shared" si="4"/>
        <v>25</v>
      </c>
      <c r="AN9" s="24">
        <v>0</v>
      </c>
      <c r="AO9" s="14">
        <v>0</v>
      </c>
      <c r="AP9" s="14">
        <v>0</v>
      </c>
      <c r="AQ9" s="14">
        <v>0</v>
      </c>
      <c r="AR9" s="14">
        <v>0</v>
      </c>
      <c r="AS9" s="77">
        <f t="shared" si="5"/>
        <v>25</v>
      </c>
      <c r="AT9" s="37"/>
      <c r="AU9" s="38"/>
    </row>
    <row r="10" spans="1:47" ht="18" customHeight="1">
      <c r="A10" s="65">
        <v>306</v>
      </c>
      <c r="B10" s="68" t="s">
        <v>11</v>
      </c>
      <c r="C10" s="33" t="s">
        <v>12</v>
      </c>
      <c r="D10" s="41"/>
      <c r="E10" s="75">
        <v>25847719</v>
      </c>
      <c r="F10" s="76">
        <v>198662</v>
      </c>
      <c r="G10" s="76">
        <v>25649057</v>
      </c>
      <c r="H10" s="76">
        <v>48</v>
      </c>
      <c r="I10" s="76">
        <v>44530</v>
      </c>
      <c r="J10" s="77">
        <f t="shared" si="0"/>
        <v>15</v>
      </c>
      <c r="K10" s="26"/>
      <c r="L10" s="24">
        <v>25847719</v>
      </c>
      <c r="M10" s="14">
        <v>198662</v>
      </c>
      <c r="N10" s="14">
        <v>25649057</v>
      </c>
      <c r="O10" s="14">
        <v>48</v>
      </c>
      <c r="P10" s="14">
        <v>44530</v>
      </c>
      <c r="Q10" s="77">
        <f t="shared" si="1"/>
        <v>14</v>
      </c>
      <c r="R10" s="24">
        <v>15822445</v>
      </c>
      <c r="S10" s="14">
        <v>152900</v>
      </c>
      <c r="T10" s="14">
        <v>15669545</v>
      </c>
      <c r="U10" s="14">
        <v>29.89</v>
      </c>
      <c r="V10" s="14">
        <v>43687</v>
      </c>
      <c r="W10" s="77">
        <f t="shared" si="2"/>
        <v>20</v>
      </c>
      <c r="X10" s="37"/>
      <c r="Y10" s="38"/>
      <c r="AA10" s="75">
        <v>26074467</v>
      </c>
      <c r="AB10" s="76">
        <v>198662</v>
      </c>
      <c r="AC10" s="76">
        <v>25875805</v>
      </c>
      <c r="AD10" s="76">
        <v>48</v>
      </c>
      <c r="AE10" s="76">
        <v>44923</v>
      </c>
      <c r="AF10" s="77">
        <f t="shared" si="3"/>
        <v>19</v>
      </c>
      <c r="AG10" s="26"/>
      <c r="AH10" s="24">
        <v>26074467</v>
      </c>
      <c r="AI10" s="14">
        <v>198662</v>
      </c>
      <c r="AJ10" s="14">
        <v>25875805</v>
      </c>
      <c r="AK10" s="14">
        <v>48</v>
      </c>
      <c r="AL10" s="14">
        <v>44923</v>
      </c>
      <c r="AM10" s="77">
        <f t="shared" si="4"/>
        <v>18</v>
      </c>
      <c r="AN10" s="24">
        <v>17354604</v>
      </c>
      <c r="AO10" s="14">
        <v>150550</v>
      </c>
      <c r="AP10" s="14">
        <v>17204054</v>
      </c>
      <c r="AQ10" s="14">
        <v>31.49</v>
      </c>
      <c r="AR10" s="14">
        <v>45528</v>
      </c>
      <c r="AS10" s="77">
        <f t="shared" si="5"/>
        <v>21</v>
      </c>
      <c r="AT10" s="37"/>
      <c r="AU10" s="38"/>
    </row>
    <row r="11" spans="1:47" ht="18" customHeight="1">
      <c r="A11" s="65">
        <v>307</v>
      </c>
      <c r="B11" s="68" t="s">
        <v>13</v>
      </c>
      <c r="C11" s="33" t="s">
        <v>14</v>
      </c>
      <c r="D11" s="41"/>
      <c r="E11" s="75">
        <v>19580339222</v>
      </c>
      <c r="F11" s="76">
        <v>1416753384</v>
      </c>
      <c r="G11" s="76">
        <v>18163585838</v>
      </c>
      <c r="H11" s="76">
        <v>34928</v>
      </c>
      <c r="I11" s="76">
        <v>43336</v>
      </c>
      <c r="J11" s="77">
        <f t="shared" si="0"/>
        <v>17</v>
      </c>
      <c r="K11" s="26"/>
      <c r="L11" s="24">
        <v>20050252455</v>
      </c>
      <c r="M11" s="14">
        <v>1500975323</v>
      </c>
      <c r="N11" s="14">
        <v>18549277132</v>
      </c>
      <c r="O11" s="14">
        <v>34928</v>
      </c>
      <c r="P11" s="14">
        <v>44256</v>
      </c>
      <c r="Q11" s="77">
        <f t="shared" si="1"/>
        <v>16</v>
      </c>
      <c r="R11" s="24">
        <v>19336032107.040001</v>
      </c>
      <c r="S11" s="14">
        <v>1434906430.0400002</v>
      </c>
      <c r="T11" s="14">
        <v>17901125677</v>
      </c>
      <c r="U11" s="14">
        <v>33085.06</v>
      </c>
      <c r="V11" s="14">
        <v>45089</v>
      </c>
      <c r="W11" s="77">
        <f t="shared" si="2"/>
        <v>18</v>
      </c>
      <c r="X11" s="37"/>
      <c r="Y11" s="38"/>
      <c r="AA11" s="75">
        <v>21452308561</v>
      </c>
      <c r="AB11" s="76">
        <v>1433115692</v>
      </c>
      <c r="AC11" s="76">
        <v>20019192869</v>
      </c>
      <c r="AD11" s="76">
        <v>36057</v>
      </c>
      <c r="AE11" s="76">
        <v>46267</v>
      </c>
      <c r="AF11" s="77">
        <f t="shared" si="3"/>
        <v>15</v>
      </c>
      <c r="AG11" s="26"/>
      <c r="AH11" s="24">
        <v>20916401284</v>
      </c>
      <c r="AI11" s="14">
        <v>1437723842</v>
      </c>
      <c r="AJ11" s="14">
        <v>19478677442</v>
      </c>
      <c r="AK11" s="14">
        <v>36057</v>
      </c>
      <c r="AL11" s="14">
        <v>45018</v>
      </c>
      <c r="AM11" s="77">
        <f t="shared" si="4"/>
        <v>17</v>
      </c>
      <c r="AN11" s="24">
        <v>21028887124.739998</v>
      </c>
      <c r="AO11" s="14">
        <v>1444355702.26</v>
      </c>
      <c r="AP11" s="14">
        <v>19584531422.48</v>
      </c>
      <c r="AQ11" s="14">
        <v>33694.01</v>
      </c>
      <c r="AR11" s="14">
        <v>48437</v>
      </c>
      <c r="AS11" s="77">
        <f t="shared" si="5"/>
        <v>17</v>
      </c>
      <c r="AT11" s="37"/>
      <c r="AU11" s="38"/>
    </row>
    <row r="12" spans="1:47" ht="18" customHeight="1">
      <c r="A12" s="65">
        <v>308</v>
      </c>
      <c r="B12" s="68" t="s">
        <v>80</v>
      </c>
      <c r="C12" s="33" t="s">
        <v>81</v>
      </c>
      <c r="D12" s="41"/>
      <c r="E12" s="75">
        <v>0</v>
      </c>
      <c r="F12" s="76">
        <v>0</v>
      </c>
      <c r="G12" s="76">
        <v>0</v>
      </c>
      <c r="H12" s="76">
        <v>0</v>
      </c>
      <c r="I12" s="76">
        <v>0</v>
      </c>
      <c r="J12" s="77">
        <f t="shared" si="0"/>
        <v>24</v>
      </c>
      <c r="K12" s="26"/>
      <c r="L12" s="24">
        <v>0</v>
      </c>
      <c r="M12" s="14">
        <v>0</v>
      </c>
      <c r="N12" s="14">
        <v>0</v>
      </c>
      <c r="O12" s="14">
        <v>0</v>
      </c>
      <c r="P12" s="14">
        <v>0</v>
      </c>
      <c r="Q12" s="77">
        <f t="shared" si="1"/>
        <v>24</v>
      </c>
      <c r="R12" s="24">
        <v>0</v>
      </c>
      <c r="S12" s="14">
        <v>0</v>
      </c>
      <c r="T12" s="14">
        <v>0</v>
      </c>
      <c r="U12" s="14">
        <v>0</v>
      </c>
      <c r="V12" s="14">
        <v>0</v>
      </c>
      <c r="W12" s="77">
        <f t="shared" si="2"/>
        <v>24</v>
      </c>
      <c r="X12" s="37"/>
      <c r="Y12" s="38"/>
      <c r="AA12" s="75">
        <v>0</v>
      </c>
      <c r="AB12" s="76">
        <v>0</v>
      </c>
      <c r="AC12" s="76">
        <v>0</v>
      </c>
      <c r="AD12" s="76">
        <v>0</v>
      </c>
      <c r="AE12" s="76">
        <v>0</v>
      </c>
      <c r="AF12" s="77">
        <f t="shared" si="3"/>
        <v>24</v>
      </c>
      <c r="AG12" s="26"/>
      <c r="AH12" s="24">
        <v>0</v>
      </c>
      <c r="AI12" s="14">
        <v>0</v>
      </c>
      <c r="AJ12" s="14">
        <v>0</v>
      </c>
      <c r="AK12" s="14">
        <v>0</v>
      </c>
      <c r="AL12" s="14">
        <v>0</v>
      </c>
      <c r="AM12" s="77">
        <f t="shared" si="4"/>
        <v>25</v>
      </c>
      <c r="AN12" s="24">
        <v>0</v>
      </c>
      <c r="AO12" s="14">
        <v>0</v>
      </c>
      <c r="AP12" s="14">
        <v>0</v>
      </c>
      <c r="AQ12" s="14">
        <v>0</v>
      </c>
      <c r="AR12" s="14">
        <v>0</v>
      </c>
      <c r="AS12" s="77">
        <f t="shared" si="5"/>
        <v>25</v>
      </c>
      <c r="AT12" s="37"/>
      <c r="AU12" s="38"/>
    </row>
    <row r="13" spans="1:47" ht="18" customHeight="1">
      <c r="A13" s="65">
        <v>309</v>
      </c>
      <c r="B13" s="68" t="s">
        <v>82</v>
      </c>
      <c r="C13" s="33" t="s">
        <v>91</v>
      </c>
      <c r="D13" s="41"/>
      <c r="E13" s="75">
        <v>91264225</v>
      </c>
      <c r="F13" s="76">
        <v>7993580</v>
      </c>
      <c r="G13" s="76">
        <v>83270645</v>
      </c>
      <c r="H13" s="76">
        <v>154</v>
      </c>
      <c r="I13" s="76">
        <v>45060</v>
      </c>
      <c r="J13" s="77">
        <f t="shared" si="0"/>
        <v>14</v>
      </c>
      <c r="K13" s="26"/>
      <c r="L13" s="24">
        <v>94264225</v>
      </c>
      <c r="M13" s="14">
        <v>7993580</v>
      </c>
      <c r="N13" s="14">
        <v>86270645</v>
      </c>
      <c r="O13" s="14">
        <v>154</v>
      </c>
      <c r="P13" s="14">
        <v>46683</v>
      </c>
      <c r="Q13" s="77">
        <f t="shared" si="1"/>
        <v>13</v>
      </c>
      <c r="R13" s="24">
        <v>95891501.5</v>
      </c>
      <c r="S13" s="14">
        <v>9088750</v>
      </c>
      <c r="T13" s="14">
        <v>86802751.5</v>
      </c>
      <c r="U13" s="14">
        <v>153.11000000000001</v>
      </c>
      <c r="V13" s="14">
        <v>47244</v>
      </c>
      <c r="W13" s="77">
        <f t="shared" si="2"/>
        <v>15</v>
      </c>
      <c r="X13" s="37"/>
      <c r="Y13" s="38"/>
      <c r="AA13" s="75">
        <v>107206357</v>
      </c>
      <c r="AB13" s="76">
        <v>12010580</v>
      </c>
      <c r="AC13" s="76">
        <v>95195777</v>
      </c>
      <c r="AD13" s="76">
        <v>154</v>
      </c>
      <c r="AE13" s="76">
        <v>51513</v>
      </c>
      <c r="AF13" s="77">
        <f t="shared" si="3"/>
        <v>11</v>
      </c>
      <c r="AG13" s="26"/>
      <c r="AH13" s="24">
        <v>110204414</v>
      </c>
      <c r="AI13" s="14">
        <v>12010580</v>
      </c>
      <c r="AJ13" s="14">
        <v>98193834</v>
      </c>
      <c r="AK13" s="14">
        <v>158.85</v>
      </c>
      <c r="AL13" s="14">
        <v>51513</v>
      </c>
      <c r="AM13" s="77">
        <f t="shared" si="4"/>
        <v>11</v>
      </c>
      <c r="AN13" s="24">
        <v>107157324.37</v>
      </c>
      <c r="AO13" s="14">
        <v>9284877</v>
      </c>
      <c r="AP13" s="14">
        <v>97872447.370000005</v>
      </c>
      <c r="AQ13" s="14">
        <v>156.77000000000001</v>
      </c>
      <c r="AR13" s="14">
        <v>52025</v>
      </c>
      <c r="AS13" s="77">
        <f t="shared" si="5"/>
        <v>13</v>
      </c>
      <c r="AT13" s="37"/>
      <c r="AU13" s="38"/>
    </row>
    <row r="14" spans="1:47" ht="18" customHeight="1">
      <c r="A14" s="65">
        <v>312</v>
      </c>
      <c r="B14" s="68" t="s">
        <v>15</v>
      </c>
      <c r="C14" s="33" t="s">
        <v>16</v>
      </c>
      <c r="D14" s="41"/>
      <c r="E14" s="75">
        <v>937029493</v>
      </c>
      <c r="F14" s="76">
        <v>10749506</v>
      </c>
      <c r="G14" s="76">
        <v>926279987</v>
      </c>
      <c r="H14" s="76">
        <v>1737</v>
      </c>
      <c r="I14" s="76">
        <v>44439</v>
      </c>
      <c r="J14" s="77">
        <f t="shared" si="0"/>
        <v>16</v>
      </c>
      <c r="K14" s="26"/>
      <c r="L14" s="24">
        <v>936850573</v>
      </c>
      <c r="M14" s="14">
        <v>10831106</v>
      </c>
      <c r="N14" s="14">
        <v>926019467</v>
      </c>
      <c r="O14" s="14">
        <v>1735</v>
      </c>
      <c r="P14" s="14">
        <v>44477</v>
      </c>
      <c r="Q14" s="77">
        <f t="shared" si="1"/>
        <v>15</v>
      </c>
      <c r="R14" s="24">
        <v>898836212</v>
      </c>
      <c r="S14" s="14">
        <v>2897017</v>
      </c>
      <c r="T14" s="14">
        <v>895939195</v>
      </c>
      <c r="U14" s="14">
        <v>1569.8500000000001</v>
      </c>
      <c r="V14" s="14">
        <v>47560</v>
      </c>
      <c r="W14" s="77">
        <f t="shared" si="2"/>
        <v>13</v>
      </c>
      <c r="X14" s="37"/>
      <c r="Y14" s="38"/>
      <c r="AA14" s="75">
        <v>970757460</v>
      </c>
      <c r="AB14" s="76">
        <v>10749506</v>
      </c>
      <c r="AC14" s="76">
        <v>960007954</v>
      </c>
      <c r="AD14" s="76">
        <v>1730</v>
      </c>
      <c r="AE14" s="76">
        <v>46243</v>
      </c>
      <c r="AF14" s="77">
        <f t="shared" si="3"/>
        <v>16</v>
      </c>
      <c r="AG14" s="26"/>
      <c r="AH14" s="24">
        <v>932395500</v>
      </c>
      <c r="AI14" s="14">
        <v>11412706</v>
      </c>
      <c r="AJ14" s="14">
        <v>920982794</v>
      </c>
      <c r="AK14" s="14">
        <v>1730</v>
      </c>
      <c r="AL14" s="14">
        <v>44363</v>
      </c>
      <c r="AM14" s="77">
        <f t="shared" si="4"/>
        <v>19</v>
      </c>
      <c r="AN14" s="24">
        <v>936769207</v>
      </c>
      <c r="AO14" s="14">
        <v>5738274</v>
      </c>
      <c r="AP14" s="14">
        <v>931030933</v>
      </c>
      <c r="AQ14" s="14">
        <v>1528.82</v>
      </c>
      <c r="AR14" s="14">
        <v>50749</v>
      </c>
      <c r="AS14" s="77">
        <f t="shared" si="5"/>
        <v>14</v>
      </c>
      <c r="AT14" s="37"/>
      <c r="AU14" s="38"/>
    </row>
    <row r="15" spans="1:47" ht="18" customHeight="1">
      <c r="A15" s="65">
        <v>313</v>
      </c>
      <c r="B15" s="68" t="s">
        <v>17</v>
      </c>
      <c r="C15" s="33" t="s">
        <v>18</v>
      </c>
      <c r="D15" s="41"/>
      <c r="E15" s="75">
        <v>0</v>
      </c>
      <c r="F15" s="76">
        <v>0</v>
      </c>
      <c r="G15" s="76">
        <v>0</v>
      </c>
      <c r="H15" s="76">
        <v>0</v>
      </c>
      <c r="I15" s="76">
        <v>0</v>
      </c>
      <c r="J15" s="77">
        <f t="shared" si="0"/>
        <v>24</v>
      </c>
      <c r="K15" s="26"/>
      <c r="L15" s="24">
        <v>0</v>
      </c>
      <c r="M15" s="14">
        <v>0</v>
      </c>
      <c r="N15" s="14">
        <v>0</v>
      </c>
      <c r="O15" s="14">
        <v>0</v>
      </c>
      <c r="P15" s="14">
        <v>0</v>
      </c>
      <c r="Q15" s="77">
        <f t="shared" si="1"/>
        <v>24</v>
      </c>
      <c r="R15" s="24">
        <v>0</v>
      </c>
      <c r="S15" s="14">
        <v>0</v>
      </c>
      <c r="T15" s="14">
        <v>0</v>
      </c>
      <c r="U15" s="14">
        <v>0</v>
      </c>
      <c r="V15" s="14">
        <v>0</v>
      </c>
      <c r="W15" s="77">
        <f t="shared" si="2"/>
        <v>24</v>
      </c>
      <c r="X15" s="37"/>
      <c r="Y15" s="38"/>
      <c r="AA15" s="75">
        <v>0</v>
      </c>
      <c r="AB15" s="76">
        <v>0</v>
      </c>
      <c r="AC15" s="76">
        <v>0</v>
      </c>
      <c r="AD15" s="76">
        <v>0</v>
      </c>
      <c r="AE15" s="76">
        <v>0</v>
      </c>
      <c r="AF15" s="77">
        <f t="shared" si="3"/>
        <v>24</v>
      </c>
      <c r="AG15" s="26"/>
      <c r="AH15" s="24">
        <v>26150440</v>
      </c>
      <c r="AI15" s="14">
        <v>1400000</v>
      </c>
      <c r="AJ15" s="14">
        <v>24750440</v>
      </c>
      <c r="AK15" s="14">
        <v>48.33</v>
      </c>
      <c r="AL15" s="14">
        <v>42676</v>
      </c>
      <c r="AM15" s="77">
        <f t="shared" si="4"/>
        <v>22</v>
      </c>
      <c r="AN15" s="24">
        <v>20813552</v>
      </c>
      <c r="AO15" s="14">
        <v>0</v>
      </c>
      <c r="AP15" s="14">
        <v>20813552</v>
      </c>
      <c r="AQ15" s="14">
        <v>37.9</v>
      </c>
      <c r="AR15" s="14">
        <v>45764</v>
      </c>
      <c r="AS15" s="77">
        <f t="shared" si="5"/>
        <v>20</v>
      </c>
      <c r="AT15" s="37"/>
      <c r="AU15" s="38"/>
    </row>
    <row r="16" spans="1:47" ht="18" customHeight="1">
      <c r="A16" s="65">
        <v>314</v>
      </c>
      <c r="B16" s="68" t="s">
        <v>19</v>
      </c>
      <c r="C16" s="33" t="s">
        <v>20</v>
      </c>
      <c r="D16" s="41"/>
      <c r="E16" s="75">
        <v>1069060462</v>
      </c>
      <c r="F16" s="76">
        <v>43813078</v>
      </c>
      <c r="G16" s="76">
        <v>1025247384</v>
      </c>
      <c r="H16" s="76">
        <v>2082</v>
      </c>
      <c r="I16" s="76">
        <v>41036</v>
      </c>
      <c r="J16" s="77">
        <f t="shared" si="0"/>
        <v>19</v>
      </c>
      <c r="K16" s="26"/>
      <c r="L16" s="24">
        <v>1178819035</v>
      </c>
      <c r="M16" s="14">
        <v>94017941</v>
      </c>
      <c r="N16" s="14">
        <v>1084801094</v>
      </c>
      <c r="O16" s="14">
        <v>2200</v>
      </c>
      <c r="P16" s="14">
        <v>41091</v>
      </c>
      <c r="Q16" s="77">
        <f t="shared" si="1"/>
        <v>20</v>
      </c>
      <c r="R16" s="24">
        <v>1189469489.8199999</v>
      </c>
      <c r="S16" s="14">
        <v>119560580</v>
      </c>
      <c r="T16" s="14">
        <v>1069908909.8199999</v>
      </c>
      <c r="U16" s="14">
        <v>2033.1399999999999</v>
      </c>
      <c r="V16" s="14">
        <v>43853</v>
      </c>
      <c r="W16" s="77">
        <f t="shared" si="2"/>
        <v>19</v>
      </c>
      <c r="X16" s="37"/>
      <c r="Y16" s="38"/>
      <c r="AA16" s="75">
        <v>1251448130</v>
      </c>
      <c r="AB16" s="76">
        <v>85167337</v>
      </c>
      <c r="AC16" s="76">
        <v>1166280793</v>
      </c>
      <c r="AD16" s="76">
        <v>2161.75</v>
      </c>
      <c r="AE16" s="76">
        <v>44959</v>
      </c>
      <c r="AF16" s="77">
        <f t="shared" si="3"/>
        <v>18</v>
      </c>
      <c r="AG16" s="26"/>
      <c r="AH16" s="24">
        <v>1366295459</v>
      </c>
      <c r="AI16" s="14">
        <v>100356121</v>
      </c>
      <c r="AJ16" s="14">
        <v>1265939338</v>
      </c>
      <c r="AK16" s="14">
        <v>2270.25</v>
      </c>
      <c r="AL16" s="14">
        <v>46468</v>
      </c>
      <c r="AM16" s="77">
        <f t="shared" si="4"/>
        <v>15</v>
      </c>
      <c r="AN16" s="24">
        <v>1370592858.73</v>
      </c>
      <c r="AO16" s="14">
        <v>105474667.72999999</v>
      </c>
      <c r="AP16" s="14">
        <v>1265118191</v>
      </c>
      <c r="AQ16" s="14">
        <v>2112.12</v>
      </c>
      <c r="AR16" s="14">
        <v>49915</v>
      </c>
      <c r="AS16" s="77">
        <f t="shared" si="5"/>
        <v>15</v>
      </c>
      <c r="AT16" s="37"/>
      <c r="AU16" s="38"/>
    </row>
    <row r="17" spans="1:47" ht="18" customHeight="1">
      <c r="A17" s="65">
        <v>315</v>
      </c>
      <c r="B17" s="68" t="s">
        <v>21</v>
      </c>
      <c r="C17" s="33" t="s">
        <v>22</v>
      </c>
      <c r="D17" s="41"/>
      <c r="E17" s="75">
        <v>0</v>
      </c>
      <c r="F17" s="76">
        <v>0</v>
      </c>
      <c r="G17" s="76">
        <v>0</v>
      </c>
      <c r="H17" s="76">
        <v>0</v>
      </c>
      <c r="I17" s="76">
        <v>0</v>
      </c>
      <c r="J17" s="77">
        <f t="shared" si="0"/>
        <v>24</v>
      </c>
      <c r="K17" s="26"/>
      <c r="L17" s="24">
        <v>0</v>
      </c>
      <c r="M17" s="14">
        <v>0</v>
      </c>
      <c r="N17" s="14">
        <v>0</v>
      </c>
      <c r="O17" s="14">
        <v>0</v>
      </c>
      <c r="P17" s="14">
        <v>0</v>
      </c>
      <c r="Q17" s="77">
        <f t="shared" si="1"/>
        <v>24</v>
      </c>
      <c r="R17" s="24">
        <v>0</v>
      </c>
      <c r="S17" s="14">
        <v>0</v>
      </c>
      <c r="T17" s="14">
        <v>0</v>
      </c>
      <c r="U17" s="14">
        <v>0</v>
      </c>
      <c r="V17" s="14">
        <v>0</v>
      </c>
      <c r="W17" s="77">
        <f t="shared" si="2"/>
        <v>24</v>
      </c>
      <c r="X17" s="37"/>
      <c r="Y17" s="38"/>
      <c r="AA17" s="75">
        <v>0</v>
      </c>
      <c r="AB17" s="76">
        <v>0</v>
      </c>
      <c r="AC17" s="76">
        <v>0</v>
      </c>
      <c r="AD17" s="76">
        <v>0</v>
      </c>
      <c r="AE17" s="76">
        <v>0</v>
      </c>
      <c r="AF17" s="77">
        <f t="shared" si="3"/>
        <v>24</v>
      </c>
      <c r="AG17" s="26"/>
      <c r="AH17" s="24">
        <v>0</v>
      </c>
      <c r="AI17" s="14">
        <v>0</v>
      </c>
      <c r="AJ17" s="14">
        <v>0</v>
      </c>
      <c r="AK17" s="14">
        <v>0</v>
      </c>
      <c r="AL17" s="14">
        <v>0</v>
      </c>
      <c r="AM17" s="77">
        <f t="shared" si="4"/>
        <v>25</v>
      </c>
      <c r="AN17" s="24">
        <v>0</v>
      </c>
      <c r="AO17" s="14">
        <v>0</v>
      </c>
      <c r="AP17" s="14">
        <v>0</v>
      </c>
      <c r="AQ17" s="14">
        <v>0</v>
      </c>
      <c r="AR17" s="14">
        <v>0</v>
      </c>
      <c r="AS17" s="77">
        <f t="shared" si="5"/>
        <v>25</v>
      </c>
      <c r="AT17" s="37"/>
      <c r="AU17" s="38"/>
    </row>
    <row r="18" spans="1:47" ht="18" customHeight="1">
      <c r="A18" s="65">
        <v>317</v>
      </c>
      <c r="B18" s="68" t="s">
        <v>23</v>
      </c>
      <c r="C18" s="33" t="s">
        <v>24</v>
      </c>
      <c r="D18" s="41"/>
      <c r="E18" s="75">
        <v>10346903</v>
      </c>
      <c r="F18" s="76">
        <v>470317</v>
      </c>
      <c r="G18" s="76">
        <v>9876586</v>
      </c>
      <c r="H18" s="76">
        <v>18</v>
      </c>
      <c r="I18" s="76">
        <v>45725</v>
      </c>
      <c r="J18" s="77">
        <f t="shared" si="0"/>
        <v>13</v>
      </c>
      <c r="K18" s="26"/>
      <c r="L18" s="24">
        <v>10346903</v>
      </c>
      <c r="M18" s="14">
        <v>470317</v>
      </c>
      <c r="N18" s="14">
        <v>9876586</v>
      </c>
      <c r="O18" s="14">
        <v>19.329999999999998</v>
      </c>
      <c r="P18" s="14">
        <v>42579</v>
      </c>
      <c r="Q18" s="77">
        <f t="shared" si="1"/>
        <v>18</v>
      </c>
      <c r="R18" s="24">
        <v>10183168</v>
      </c>
      <c r="S18" s="14">
        <v>203750</v>
      </c>
      <c r="T18" s="14">
        <v>9979418</v>
      </c>
      <c r="U18" s="14">
        <v>18</v>
      </c>
      <c r="V18" s="14">
        <v>46201</v>
      </c>
      <c r="W18" s="77">
        <f t="shared" si="2"/>
        <v>17</v>
      </c>
      <c r="X18" s="37"/>
      <c r="Y18" s="38"/>
      <c r="AA18" s="75">
        <v>16163232</v>
      </c>
      <c r="AB18" s="76">
        <v>452817</v>
      </c>
      <c r="AC18" s="76">
        <v>15710415</v>
      </c>
      <c r="AD18" s="76">
        <v>26</v>
      </c>
      <c r="AE18" s="76">
        <v>50354</v>
      </c>
      <c r="AF18" s="77">
        <f t="shared" si="3"/>
        <v>12</v>
      </c>
      <c r="AG18" s="26"/>
      <c r="AH18" s="24">
        <v>15587232</v>
      </c>
      <c r="AI18" s="14">
        <v>452817</v>
      </c>
      <c r="AJ18" s="14">
        <v>15134415</v>
      </c>
      <c r="AK18" s="14">
        <v>25</v>
      </c>
      <c r="AL18" s="14">
        <v>50448</v>
      </c>
      <c r="AM18" s="77">
        <f t="shared" si="4"/>
        <v>12</v>
      </c>
      <c r="AN18" s="24">
        <v>11838767</v>
      </c>
      <c r="AO18" s="14">
        <v>317750</v>
      </c>
      <c r="AP18" s="14">
        <v>11521017</v>
      </c>
      <c r="AQ18" s="14">
        <v>19.78</v>
      </c>
      <c r="AR18" s="14">
        <v>48538</v>
      </c>
      <c r="AS18" s="77">
        <f t="shared" si="5"/>
        <v>16</v>
      </c>
      <c r="AT18" s="37"/>
      <c r="AU18" s="38"/>
    </row>
    <row r="19" spans="1:47" ht="18" customHeight="1">
      <c r="A19" s="65">
        <v>321</v>
      </c>
      <c r="B19" s="68" t="s">
        <v>25</v>
      </c>
      <c r="C19" s="33" t="s">
        <v>26</v>
      </c>
      <c r="D19" s="41"/>
      <c r="E19" s="75">
        <v>51811866</v>
      </c>
      <c r="F19" s="76">
        <v>18741881</v>
      </c>
      <c r="G19" s="76">
        <v>33069985</v>
      </c>
      <c r="H19" s="76">
        <v>59</v>
      </c>
      <c r="I19" s="76">
        <v>46709</v>
      </c>
      <c r="J19" s="77">
        <f t="shared" si="0"/>
        <v>12</v>
      </c>
      <c r="K19" s="26"/>
      <c r="L19" s="24">
        <v>56811866</v>
      </c>
      <c r="M19" s="14">
        <v>23741881</v>
      </c>
      <c r="N19" s="14">
        <v>33069985</v>
      </c>
      <c r="O19" s="14">
        <v>59</v>
      </c>
      <c r="P19" s="14">
        <v>46709</v>
      </c>
      <c r="Q19" s="77">
        <f t="shared" si="1"/>
        <v>12</v>
      </c>
      <c r="R19" s="24">
        <v>61659460</v>
      </c>
      <c r="S19" s="14">
        <v>24860263</v>
      </c>
      <c r="T19" s="14">
        <v>36799197</v>
      </c>
      <c r="U19" s="14">
        <v>56.28</v>
      </c>
      <c r="V19" s="14">
        <v>54488</v>
      </c>
      <c r="W19" s="77">
        <f t="shared" si="2"/>
        <v>8</v>
      </c>
      <c r="X19" s="37"/>
      <c r="Y19" s="38"/>
      <c r="AA19" s="75">
        <v>56408032</v>
      </c>
      <c r="AB19" s="76">
        <v>18741881</v>
      </c>
      <c r="AC19" s="76">
        <v>37666151</v>
      </c>
      <c r="AD19" s="76">
        <v>64</v>
      </c>
      <c r="AE19" s="76">
        <v>49044</v>
      </c>
      <c r="AF19" s="77">
        <f t="shared" si="3"/>
        <v>13</v>
      </c>
      <c r="AG19" s="26"/>
      <c r="AH19" s="24">
        <v>57408032</v>
      </c>
      <c r="AI19" s="14">
        <v>19741881</v>
      </c>
      <c r="AJ19" s="14">
        <v>37666151</v>
      </c>
      <c r="AK19" s="14">
        <v>64</v>
      </c>
      <c r="AL19" s="14">
        <v>49044</v>
      </c>
      <c r="AM19" s="77">
        <f t="shared" si="4"/>
        <v>13</v>
      </c>
      <c r="AN19" s="24">
        <v>62961564</v>
      </c>
      <c r="AO19" s="14">
        <v>23962407</v>
      </c>
      <c r="AP19" s="14">
        <v>38999157</v>
      </c>
      <c r="AQ19" s="14">
        <v>59.77</v>
      </c>
      <c r="AR19" s="14">
        <v>54374</v>
      </c>
      <c r="AS19" s="77">
        <f t="shared" si="5"/>
        <v>11</v>
      </c>
      <c r="AT19" s="37"/>
      <c r="AU19" s="38"/>
    </row>
    <row r="20" spans="1:47" ht="18" customHeight="1">
      <c r="A20" s="65">
        <v>322</v>
      </c>
      <c r="B20" s="68" t="s">
        <v>27</v>
      </c>
      <c r="C20" s="33" t="s">
        <v>28</v>
      </c>
      <c r="D20" s="41"/>
      <c r="E20" s="75">
        <v>46387994</v>
      </c>
      <c r="F20" s="76">
        <v>1732000</v>
      </c>
      <c r="G20" s="76">
        <v>44655994</v>
      </c>
      <c r="H20" s="76">
        <v>73</v>
      </c>
      <c r="I20" s="76">
        <v>50977</v>
      </c>
      <c r="J20" s="77">
        <f t="shared" si="0"/>
        <v>7</v>
      </c>
      <c r="K20" s="26"/>
      <c r="L20" s="24">
        <v>46387994</v>
      </c>
      <c r="M20" s="14">
        <v>1732000</v>
      </c>
      <c r="N20" s="14">
        <v>44655994</v>
      </c>
      <c r="O20" s="14">
        <v>73</v>
      </c>
      <c r="P20" s="14">
        <v>50977</v>
      </c>
      <c r="Q20" s="77">
        <f t="shared" si="1"/>
        <v>7</v>
      </c>
      <c r="R20" s="24">
        <v>45955837</v>
      </c>
      <c r="S20" s="14">
        <v>1618185</v>
      </c>
      <c r="T20" s="14">
        <v>44337652</v>
      </c>
      <c r="U20" s="14">
        <v>65.760000000000005</v>
      </c>
      <c r="V20" s="14">
        <v>56186</v>
      </c>
      <c r="W20" s="77">
        <f t="shared" si="2"/>
        <v>6</v>
      </c>
      <c r="X20" s="37"/>
      <c r="Y20" s="38"/>
      <c r="AA20" s="75">
        <v>48620794</v>
      </c>
      <c r="AB20" s="76">
        <v>1732000</v>
      </c>
      <c r="AC20" s="76">
        <v>46888794</v>
      </c>
      <c r="AD20" s="76">
        <v>73</v>
      </c>
      <c r="AE20" s="76">
        <v>53526</v>
      </c>
      <c r="AF20" s="77">
        <f t="shared" si="3"/>
        <v>9</v>
      </c>
      <c r="AG20" s="26"/>
      <c r="AH20" s="24">
        <v>48620794</v>
      </c>
      <c r="AI20" s="14">
        <v>1732000</v>
      </c>
      <c r="AJ20" s="14">
        <v>46888794</v>
      </c>
      <c r="AK20" s="14">
        <v>73</v>
      </c>
      <c r="AL20" s="14">
        <v>53526</v>
      </c>
      <c r="AM20" s="77">
        <f t="shared" si="4"/>
        <v>9</v>
      </c>
      <c r="AN20" s="24">
        <v>47282894</v>
      </c>
      <c r="AO20" s="14">
        <v>1508820</v>
      </c>
      <c r="AP20" s="14">
        <v>45774074</v>
      </c>
      <c r="AQ20" s="14">
        <v>65.67</v>
      </c>
      <c r="AR20" s="14">
        <v>58086</v>
      </c>
      <c r="AS20" s="77">
        <f t="shared" si="5"/>
        <v>7</v>
      </c>
      <c r="AT20" s="37"/>
      <c r="AU20" s="38"/>
    </row>
    <row r="21" spans="1:47" ht="18" customHeight="1">
      <c r="A21" s="65">
        <v>327</v>
      </c>
      <c r="B21" s="68" t="s">
        <v>29</v>
      </c>
      <c r="C21" s="33" t="s">
        <v>30</v>
      </c>
      <c r="D21" s="41"/>
      <c r="E21" s="75">
        <v>7067714</v>
      </c>
      <c r="F21" s="76">
        <v>29800</v>
      </c>
      <c r="G21" s="76">
        <v>7037914</v>
      </c>
      <c r="H21" s="76">
        <v>15</v>
      </c>
      <c r="I21" s="76">
        <v>39100</v>
      </c>
      <c r="J21" s="77">
        <f t="shared" si="0"/>
        <v>21</v>
      </c>
      <c r="K21" s="26"/>
      <c r="L21" s="24">
        <v>7067714</v>
      </c>
      <c r="M21" s="14">
        <v>29800</v>
      </c>
      <c r="N21" s="14">
        <v>7037914</v>
      </c>
      <c r="O21" s="14">
        <v>15</v>
      </c>
      <c r="P21" s="14">
        <v>39100</v>
      </c>
      <c r="Q21" s="77">
        <f t="shared" si="1"/>
        <v>22</v>
      </c>
      <c r="R21" s="24">
        <v>7067714</v>
      </c>
      <c r="S21" s="14">
        <v>29800</v>
      </c>
      <c r="T21" s="14">
        <v>7037914</v>
      </c>
      <c r="U21" s="14">
        <v>14.17</v>
      </c>
      <c r="V21" s="14">
        <v>41390</v>
      </c>
      <c r="W21" s="77">
        <f t="shared" si="2"/>
        <v>22</v>
      </c>
      <c r="X21" s="37"/>
      <c r="Y21" s="38"/>
      <c r="AA21" s="75">
        <v>7419610</v>
      </c>
      <c r="AB21" s="76">
        <v>29800</v>
      </c>
      <c r="AC21" s="76">
        <v>7389810</v>
      </c>
      <c r="AD21" s="76">
        <v>15</v>
      </c>
      <c r="AE21" s="76">
        <v>41055</v>
      </c>
      <c r="AF21" s="77">
        <f t="shared" si="3"/>
        <v>21</v>
      </c>
      <c r="AG21" s="26"/>
      <c r="AH21" s="24">
        <v>7419610</v>
      </c>
      <c r="AI21" s="14">
        <v>29800</v>
      </c>
      <c r="AJ21" s="14">
        <v>7389810</v>
      </c>
      <c r="AK21" s="14">
        <v>15</v>
      </c>
      <c r="AL21" s="14">
        <v>41055</v>
      </c>
      <c r="AM21" s="77">
        <f t="shared" si="4"/>
        <v>23</v>
      </c>
      <c r="AN21" s="24">
        <v>7419610</v>
      </c>
      <c r="AO21" s="14">
        <v>29800</v>
      </c>
      <c r="AP21" s="14">
        <v>7389810</v>
      </c>
      <c r="AQ21" s="14">
        <v>13.94</v>
      </c>
      <c r="AR21" s="14">
        <v>44176</v>
      </c>
      <c r="AS21" s="77">
        <f t="shared" si="5"/>
        <v>23</v>
      </c>
      <c r="AT21" s="37"/>
      <c r="AU21" s="38"/>
    </row>
    <row r="22" spans="1:47" ht="18" customHeight="1">
      <c r="A22" s="65">
        <v>328</v>
      </c>
      <c r="B22" s="68" t="s">
        <v>87</v>
      </c>
      <c r="C22" s="33" t="s">
        <v>85</v>
      </c>
      <c r="D22" s="41"/>
      <c r="E22" s="75">
        <v>0</v>
      </c>
      <c r="F22" s="76">
        <v>0</v>
      </c>
      <c r="G22" s="76">
        <v>0</v>
      </c>
      <c r="H22" s="76">
        <v>0</v>
      </c>
      <c r="I22" s="76">
        <v>0</v>
      </c>
      <c r="J22" s="77">
        <f t="shared" si="0"/>
        <v>24</v>
      </c>
      <c r="K22" s="26"/>
      <c r="L22" s="24">
        <v>0</v>
      </c>
      <c r="M22" s="14">
        <v>0</v>
      </c>
      <c r="N22" s="14">
        <v>0</v>
      </c>
      <c r="O22" s="14">
        <v>0</v>
      </c>
      <c r="P22" s="14">
        <v>0</v>
      </c>
      <c r="Q22" s="77">
        <f t="shared" si="1"/>
        <v>24</v>
      </c>
      <c r="R22" s="24">
        <v>0</v>
      </c>
      <c r="S22" s="14">
        <v>0</v>
      </c>
      <c r="T22" s="14">
        <v>0</v>
      </c>
      <c r="U22" s="14">
        <v>0</v>
      </c>
      <c r="V22" s="14">
        <v>0</v>
      </c>
      <c r="W22" s="77">
        <f t="shared" si="2"/>
        <v>24</v>
      </c>
      <c r="X22" s="37"/>
      <c r="Y22" s="38"/>
      <c r="AA22" s="75">
        <v>0</v>
      </c>
      <c r="AB22" s="76">
        <v>0</v>
      </c>
      <c r="AC22" s="76">
        <v>0</v>
      </c>
      <c r="AD22" s="76">
        <v>0</v>
      </c>
      <c r="AE22" s="76">
        <v>0</v>
      </c>
      <c r="AF22" s="77">
        <f t="shared" si="3"/>
        <v>24</v>
      </c>
      <c r="AG22" s="26"/>
      <c r="AH22" s="24">
        <v>0</v>
      </c>
      <c r="AI22" s="14">
        <v>0</v>
      </c>
      <c r="AJ22" s="14">
        <v>0</v>
      </c>
      <c r="AK22" s="14">
        <v>0</v>
      </c>
      <c r="AL22" s="14">
        <v>0</v>
      </c>
      <c r="AM22" s="77">
        <f t="shared" si="4"/>
        <v>25</v>
      </c>
      <c r="AN22" s="24">
        <v>0</v>
      </c>
      <c r="AO22" s="14">
        <v>0</v>
      </c>
      <c r="AP22" s="14">
        <v>0</v>
      </c>
      <c r="AQ22" s="14">
        <v>0</v>
      </c>
      <c r="AR22" s="14">
        <v>0</v>
      </c>
      <c r="AS22" s="77">
        <f t="shared" si="5"/>
        <v>25</v>
      </c>
      <c r="AT22" s="37"/>
      <c r="AU22" s="38"/>
    </row>
    <row r="23" spans="1:47" ht="18" customHeight="1">
      <c r="A23" s="65">
        <v>329</v>
      </c>
      <c r="B23" s="68" t="s">
        <v>31</v>
      </c>
      <c r="C23" s="33" t="s">
        <v>32</v>
      </c>
      <c r="D23" s="41"/>
      <c r="E23" s="75">
        <v>188552498</v>
      </c>
      <c r="F23" s="76">
        <v>847628</v>
      </c>
      <c r="G23" s="76">
        <v>187704870</v>
      </c>
      <c r="H23" s="76">
        <v>426</v>
      </c>
      <c r="I23" s="76">
        <v>36718</v>
      </c>
      <c r="J23" s="77">
        <f t="shared" si="0"/>
        <v>23</v>
      </c>
      <c r="K23" s="26"/>
      <c r="L23" s="24">
        <v>200303973</v>
      </c>
      <c r="M23" s="14">
        <v>2736388</v>
      </c>
      <c r="N23" s="14">
        <v>197567585</v>
      </c>
      <c r="O23" s="14">
        <v>426</v>
      </c>
      <c r="P23" s="14">
        <v>38648</v>
      </c>
      <c r="Q23" s="77">
        <f t="shared" si="1"/>
        <v>23</v>
      </c>
      <c r="R23" s="24">
        <v>198920662</v>
      </c>
      <c r="S23" s="14">
        <v>2207053</v>
      </c>
      <c r="T23" s="14">
        <v>196713609</v>
      </c>
      <c r="U23" s="14">
        <v>416.03</v>
      </c>
      <c r="V23" s="14">
        <v>39403</v>
      </c>
      <c r="W23" s="77">
        <f t="shared" si="2"/>
        <v>23</v>
      </c>
      <c r="X23" s="37"/>
      <c r="Y23" s="38"/>
      <c r="AA23" s="75">
        <v>197937742</v>
      </c>
      <c r="AB23" s="76">
        <v>847628</v>
      </c>
      <c r="AC23" s="76">
        <v>197090114</v>
      </c>
      <c r="AD23" s="76">
        <v>426</v>
      </c>
      <c r="AE23" s="76">
        <v>38554</v>
      </c>
      <c r="AF23" s="77">
        <f t="shared" si="3"/>
        <v>23</v>
      </c>
      <c r="AG23" s="26"/>
      <c r="AH23" s="24">
        <v>203328756</v>
      </c>
      <c r="AI23" s="14">
        <v>2493638</v>
      </c>
      <c r="AJ23" s="14">
        <v>200835118</v>
      </c>
      <c r="AK23" s="14">
        <v>426</v>
      </c>
      <c r="AL23" s="14">
        <v>39287</v>
      </c>
      <c r="AM23" s="77">
        <f t="shared" si="4"/>
        <v>24</v>
      </c>
      <c r="AN23" s="24">
        <v>204782702</v>
      </c>
      <c r="AO23" s="14">
        <v>2708731</v>
      </c>
      <c r="AP23" s="14">
        <v>202073971</v>
      </c>
      <c r="AQ23" s="14">
        <v>418.95</v>
      </c>
      <c r="AR23" s="14">
        <v>40195</v>
      </c>
      <c r="AS23" s="77">
        <f t="shared" si="5"/>
        <v>24</v>
      </c>
      <c r="AT23" s="37"/>
      <c r="AU23" s="38"/>
    </row>
    <row r="24" spans="1:47" ht="18" customHeight="1">
      <c r="A24" s="65">
        <v>333</v>
      </c>
      <c r="B24" s="68" t="s">
        <v>33</v>
      </c>
      <c r="C24" s="33" t="s">
        <v>34</v>
      </c>
      <c r="D24" s="41"/>
      <c r="E24" s="75">
        <v>78331459</v>
      </c>
      <c r="F24" s="76">
        <v>12541811</v>
      </c>
      <c r="G24" s="76">
        <v>65789648</v>
      </c>
      <c r="H24" s="76">
        <v>127</v>
      </c>
      <c r="I24" s="76">
        <v>43169</v>
      </c>
      <c r="J24" s="77">
        <f t="shared" si="0"/>
        <v>18</v>
      </c>
      <c r="K24" s="26"/>
      <c r="L24" s="24">
        <v>78331459</v>
      </c>
      <c r="M24" s="14">
        <v>12541811</v>
      </c>
      <c r="N24" s="14">
        <v>65789648</v>
      </c>
      <c r="O24" s="14">
        <v>127</v>
      </c>
      <c r="P24" s="14">
        <v>43169</v>
      </c>
      <c r="Q24" s="77">
        <f t="shared" si="1"/>
        <v>17</v>
      </c>
      <c r="R24" s="24">
        <v>84696284</v>
      </c>
      <c r="S24" s="14">
        <v>14007648</v>
      </c>
      <c r="T24" s="14">
        <v>70688636</v>
      </c>
      <c r="U24" s="14">
        <v>123.88</v>
      </c>
      <c r="V24" s="14">
        <v>47552</v>
      </c>
      <c r="W24" s="77">
        <f t="shared" si="2"/>
        <v>14</v>
      </c>
      <c r="X24" s="37"/>
      <c r="Y24" s="38"/>
      <c r="AA24" s="75">
        <v>81620941</v>
      </c>
      <c r="AB24" s="76">
        <v>12541811</v>
      </c>
      <c r="AC24" s="76">
        <v>69079130</v>
      </c>
      <c r="AD24" s="76">
        <v>127</v>
      </c>
      <c r="AE24" s="76">
        <v>45328</v>
      </c>
      <c r="AF24" s="77">
        <f t="shared" si="3"/>
        <v>17</v>
      </c>
      <c r="AG24" s="26"/>
      <c r="AH24" s="24">
        <v>98620941</v>
      </c>
      <c r="AI24" s="14">
        <v>29541811</v>
      </c>
      <c r="AJ24" s="14">
        <v>69079130</v>
      </c>
      <c r="AK24" s="14">
        <v>127</v>
      </c>
      <c r="AL24" s="14">
        <v>45328</v>
      </c>
      <c r="AM24" s="77">
        <f t="shared" si="4"/>
        <v>16</v>
      </c>
      <c r="AN24" s="24">
        <v>89755826</v>
      </c>
      <c r="AO24" s="14">
        <v>24023971</v>
      </c>
      <c r="AP24" s="14">
        <v>65731855</v>
      </c>
      <c r="AQ24" s="14">
        <v>118.12</v>
      </c>
      <c r="AR24" s="14">
        <v>46374</v>
      </c>
      <c r="AS24" s="77">
        <f t="shared" si="5"/>
        <v>19</v>
      </c>
      <c r="AT24" s="37"/>
      <c r="AU24" s="38"/>
    </row>
    <row r="25" spans="1:47" ht="18" customHeight="1">
      <c r="A25" s="65">
        <v>334</v>
      </c>
      <c r="B25" s="68" t="s">
        <v>35</v>
      </c>
      <c r="C25" s="33" t="s">
        <v>36</v>
      </c>
      <c r="D25" s="41"/>
      <c r="E25" s="75">
        <v>0</v>
      </c>
      <c r="F25" s="76">
        <v>0</v>
      </c>
      <c r="G25" s="76">
        <v>0</v>
      </c>
      <c r="H25" s="76">
        <v>0</v>
      </c>
      <c r="I25" s="76">
        <v>0</v>
      </c>
      <c r="J25" s="77">
        <f t="shared" si="0"/>
        <v>24</v>
      </c>
      <c r="K25" s="26"/>
      <c r="L25" s="24">
        <v>0</v>
      </c>
      <c r="M25" s="14">
        <v>0</v>
      </c>
      <c r="N25" s="14">
        <v>0</v>
      </c>
      <c r="O25" s="14">
        <v>0</v>
      </c>
      <c r="P25" s="14">
        <v>0</v>
      </c>
      <c r="Q25" s="77">
        <f t="shared" si="1"/>
        <v>24</v>
      </c>
      <c r="R25" s="24">
        <v>0</v>
      </c>
      <c r="S25" s="14">
        <v>0</v>
      </c>
      <c r="T25" s="14">
        <v>0</v>
      </c>
      <c r="U25" s="14">
        <v>0</v>
      </c>
      <c r="V25" s="14">
        <v>0</v>
      </c>
      <c r="W25" s="77">
        <f t="shared" si="2"/>
        <v>24</v>
      </c>
      <c r="X25" s="37"/>
      <c r="Y25" s="38"/>
      <c r="AA25" s="75">
        <v>0</v>
      </c>
      <c r="AB25" s="76">
        <v>0</v>
      </c>
      <c r="AC25" s="76">
        <v>0</v>
      </c>
      <c r="AD25" s="76">
        <v>0</v>
      </c>
      <c r="AE25" s="76">
        <v>0</v>
      </c>
      <c r="AF25" s="77">
        <f t="shared" si="3"/>
        <v>24</v>
      </c>
      <c r="AG25" s="26"/>
      <c r="AH25" s="24">
        <v>0</v>
      </c>
      <c r="AI25" s="14">
        <v>0</v>
      </c>
      <c r="AJ25" s="14">
        <v>0</v>
      </c>
      <c r="AK25" s="14">
        <v>0</v>
      </c>
      <c r="AL25" s="14">
        <v>0</v>
      </c>
      <c r="AM25" s="77">
        <f t="shared" si="4"/>
        <v>25</v>
      </c>
      <c r="AN25" s="24">
        <v>0</v>
      </c>
      <c r="AO25" s="14">
        <v>0</v>
      </c>
      <c r="AP25" s="14">
        <v>0</v>
      </c>
      <c r="AQ25" s="14">
        <v>0</v>
      </c>
      <c r="AR25" s="14">
        <v>0</v>
      </c>
      <c r="AS25" s="77">
        <f t="shared" si="5"/>
        <v>25</v>
      </c>
      <c r="AT25" s="37"/>
      <c r="AU25" s="38"/>
    </row>
    <row r="26" spans="1:47" ht="18" customHeight="1">
      <c r="A26" s="65">
        <v>335</v>
      </c>
      <c r="B26" s="68" t="s">
        <v>37</v>
      </c>
      <c r="C26" s="33" t="s">
        <v>38</v>
      </c>
      <c r="D26" s="41"/>
      <c r="E26" s="75">
        <v>191793258</v>
      </c>
      <c r="F26" s="76">
        <v>23638320</v>
      </c>
      <c r="G26" s="76">
        <v>168154938</v>
      </c>
      <c r="H26" s="76">
        <v>296.81</v>
      </c>
      <c r="I26" s="76">
        <v>47212</v>
      </c>
      <c r="J26" s="77">
        <f t="shared" si="0"/>
        <v>11</v>
      </c>
      <c r="K26" s="26"/>
      <c r="L26" s="24">
        <v>192021258</v>
      </c>
      <c r="M26" s="14">
        <v>23652320</v>
      </c>
      <c r="N26" s="14">
        <v>168368938</v>
      </c>
      <c r="O26" s="14">
        <v>297</v>
      </c>
      <c r="P26" s="14">
        <v>47242</v>
      </c>
      <c r="Q26" s="77">
        <f t="shared" si="1"/>
        <v>11</v>
      </c>
      <c r="R26" s="24">
        <v>182620745</v>
      </c>
      <c r="S26" s="14">
        <v>14254261</v>
      </c>
      <c r="T26" s="14">
        <v>168366484</v>
      </c>
      <c r="U26" s="14">
        <v>275.76</v>
      </c>
      <c r="V26" s="14">
        <v>50880</v>
      </c>
      <c r="W26" s="77">
        <f t="shared" si="2"/>
        <v>12</v>
      </c>
      <c r="X26" s="37"/>
      <c r="Y26" s="38"/>
      <c r="AA26" s="75">
        <v>204433364</v>
      </c>
      <c r="AB26" s="76">
        <v>28831936</v>
      </c>
      <c r="AC26" s="76">
        <v>175601428</v>
      </c>
      <c r="AD26" s="76">
        <v>300.94</v>
      </c>
      <c r="AE26" s="76">
        <v>48626</v>
      </c>
      <c r="AF26" s="77">
        <f t="shared" si="3"/>
        <v>14</v>
      </c>
      <c r="AG26" s="26"/>
      <c r="AH26" s="24">
        <v>205458381</v>
      </c>
      <c r="AI26" s="14">
        <v>29265936</v>
      </c>
      <c r="AJ26" s="14">
        <v>176192445</v>
      </c>
      <c r="AK26" s="14">
        <v>302.94</v>
      </c>
      <c r="AL26" s="14">
        <v>48467</v>
      </c>
      <c r="AM26" s="77">
        <f t="shared" si="4"/>
        <v>14</v>
      </c>
      <c r="AN26" s="24">
        <v>196803551.50999999</v>
      </c>
      <c r="AO26" s="14">
        <v>12660069</v>
      </c>
      <c r="AP26" s="14">
        <v>184143482.50999999</v>
      </c>
      <c r="AQ26" s="14">
        <v>287.89</v>
      </c>
      <c r="AR26" s="14">
        <v>53303</v>
      </c>
      <c r="AS26" s="77">
        <f t="shared" si="5"/>
        <v>12</v>
      </c>
      <c r="AT26" s="37"/>
      <c r="AU26" s="38"/>
    </row>
    <row r="27" spans="1:47" ht="18" customHeight="1">
      <c r="A27" s="65">
        <v>336</v>
      </c>
      <c r="B27" s="68" t="s">
        <v>39</v>
      </c>
      <c r="C27" s="33" t="s">
        <v>40</v>
      </c>
      <c r="D27" s="41"/>
      <c r="E27" s="75">
        <v>321246510</v>
      </c>
      <c r="F27" s="76">
        <v>9358313</v>
      </c>
      <c r="G27" s="76">
        <v>311888197</v>
      </c>
      <c r="H27" s="76">
        <v>662.83</v>
      </c>
      <c r="I27" s="76">
        <v>39212</v>
      </c>
      <c r="J27" s="77">
        <f t="shared" si="0"/>
        <v>20</v>
      </c>
      <c r="K27" s="26"/>
      <c r="L27" s="24">
        <v>342722534</v>
      </c>
      <c r="M27" s="14">
        <v>11493945</v>
      </c>
      <c r="N27" s="14">
        <v>331228589</v>
      </c>
      <c r="O27" s="14">
        <v>672.83</v>
      </c>
      <c r="P27" s="14">
        <v>41024</v>
      </c>
      <c r="Q27" s="77">
        <f t="shared" si="1"/>
        <v>21</v>
      </c>
      <c r="R27" s="24">
        <v>352179426</v>
      </c>
      <c r="S27" s="14">
        <v>16196040</v>
      </c>
      <c r="T27" s="14">
        <v>335983386</v>
      </c>
      <c r="U27" s="14">
        <v>644.9</v>
      </c>
      <c r="V27" s="14">
        <v>43415</v>
      </c>
      <c r="W27" s="77">
        <f t="shared" si="2"/>
        <v>21</v>
      </c>
      <c r="X27" s="37"/>
      <c r="Y27" s="38"/>
      <c r="AA27" s="75">
        <v>336467764</v>
      </c>
      <c r="AB27" s="76">
        <v>11342537</v>
      </c>
      <c r="AC27" s="76">
        <v>325125227</v>
      </c>
      <c r="AD27" s="76">
        <v>623.1</v>
      </c>
      <c r="AE27" s="76">
        <v>43482</v>
      </c>
      <c r="AF27" s="77">
        <f t="shared" si="3"/>
        <v>20</v>
      </c>
      <c r="AG27" s="26"/>
      <c r="AH27" s="24">
        <v>349658614</v>
      </c>
      <c r="AI27" s="14">
        <v>11842537</v>
      </c>
      <c r="AJ27" s="14">
        <v>337816077</v>
      </c>
      <c r="AK27" s="14">
        <v>656.43</v>
      </c>
      <c r="AL27" s="14">
        <v>42886</v>
      </c>
      <c r="AM27" s="77">
        <f t="shared" si="4"/>
        <v>21</v>
      </c>
      <c r="AN27" s="24">
        <v>354160361.39999998</v>
      </c>
      <c r="AO27" s="14">
        <v>18482209.399999999</v>
      </c>
      <c r="AP27" s="14">
        <v>335678152</v>
      </c>
      <c r="AQ27" s="14">
        <v>627.57999999999993</v>
      </c>
      <c r="AR27" s="14">
        <v>44573</v>
      </c>
      <c r="AS27" s="77">
        <f t="shared" si="5"/>
        <v>22</v>
      </c>
      <c r="AT27" s="37"/>
      <c r="AU27" s="38"/>
    </row>
    <row r="28" spans="1:47" ht="18" customHeight="1">
      <c r="A28" s="65">
        <v>343</v>
      </c>
      <c r="B28" s="68" t="s">
        <v>83</v>
      </c>
      <c r="C28" s="33" t="s">
        <v>92</v>
      </c>
      <c r="D28" s="41"/>
      <c r="E28" s="75">
        <v>0</v>
      </c>
      <c r="F28" s="76">
        <v>0</v>
      </c>
      <c r="G28" s="76">
        <v>0</v>
      </c>
      <c r="H28" s="76">
        <v>0</v>
      </c>
      <c r="I28" s="76">
        <v>0</v>
      </c>
      <c r="J28" s="77">
        <f t="shared" si="0"/>
        <v>24</v>
      </c>
      <c r="K28" s="26"/>
      <c r="L28" s="24">
        <v>0</v>
      </c>
      <c r="M28" s="14">
        <v>0</v>
      </c>
      <c r="N28" s="14">
        <v>0</v>
      </c>
      <c r="O28" s="14">
        <v>0</v>
      </c>
      <c r="P28" s="14">
        <v>0</v>
      </c>
      <c r="Q28" s="77">
        <f t="shared" si="1"/>
        <v>24</v>
      </c>
      <c r="R28" s="24">
        <v>0</v>
      </c>
      <c r="S28" s="14">
        <v>0</v>
      </c>
      <c r="T28" s="14">
        <v>0</v>
      </c>
      <c r="U28" s="14">
        <v>0</v>
      </c>
      <c r="V28" s="14">
        <v>0</v>
      </c>
      <c r="W28" s="77">
        <f t="shared" si="2"/>
        <v>24</v>
      </c>
      <c r="X28" s="37"/>
      <c r="Y28" s="38"/>
      <c r="AA28" s="75">
        <v>0</v>
      </c>
      <c r="AB28" s="76">
        <v>0</v>
      </c>
      <c r="AC28" s="76">
        <v>0</v>
      </c>
      <c r="AD28" s="76">
        <v>0</v>
      </c>
      <c r="AE28" s="76">
        <v>0</v>
      </c>
      <c r="AF28" s="77">
        <f t="shared" si="3"/>
        <v>24</v>
      </c>
      <c r="AG28" s="26"/>
      <c r="AH28" s="24">
        <v>0</v>
      </c>
      <c r="AI28" s="14">
        <v>0</v>
      </c>
      <c r="AJ28" s="14">
        <v>0</v>
      </c>
      <c r="AK28" s="14">
        <v>0</v>
      </c>
      <c r="AL28" s="14">
        <v>0</v>
      </c>
      <c r="AM28" s="77">
        <f t="shared" si="4"/>
        <v>25</v>
      </c>
      <c r="AN28" s="24">
        <v>0</v>
      </c>
      <c r="AO28" s="14">
        <v>0</v>
      </c>
      <c r="AP28" s="14">
        <v>0</v>
      </c>
      <c r="AQ28" s="14">
        <v>0</v>
      </c>
      <c r="AR28" s="14">
        <v>0</v>
      </c>
      <c r="AS28" s="77">
        <f t="shared" si="5"/>
        <v>25</v>
      </c>
      <c r="AT28" s="37"/>
      <c r="AU28" s="38"/>
    </row>
    <row r="29" spans="1:47" ht="18" customHeight="1">
      <c r="A29" s="65">
        <v>344</v>
      </c>
      <c r="B29" s="68" t="s">
        <v>41</v>
      </c>
      <c r="C29" s="33" t="s">
        <v>42</v>
      </c>
      <c r="D29" s="41"/>
      <c r="E29" s="75">
        <v>0</v>
      </c>
      <c r="F29" s="76">
        <v>0</v>
      </c>
      <c r="G29" s="76">
        <v>0</v>
      </c>
      <c r="H29" s="76">
        <v>0</v>
      </c>
      <c r="I29" s="76">
        <v>0</v>
      </c>
      <c r="J29" s="77">
        <f t="shared" si="0"/>
        <v>24</v>
      </c>
      <c r="K29" s="26"/>
      <c r="L29" s="24">
        <v>0</v>
      </c>
      <c r="M29" s="14">
        <v>0</v>
      </c>
      <c r="N29" s="14">
        <v>0</v>
      </c>
      <c r="O29" s="14">
        <v>0</v>
      </c>
      <c r="P29" s="14">
        <v>0</v>
      </c>
      <c r="Q29" s="77">
        <f t="shared" si="1"/>
        <v>24</v>
      </c>
      <c r="R29" s="24">
        <v>0</v>
      </c>
      <c r="S29" s="14">
        <v>0</v>
      </c>
      <c r="T29" s="14">
        <v>0</v>
      </c>
      <c r="U29" s="14">
        <v>0</v>
      </c>
      <c r="V29" s="14">
        <v>0</v>
      </c>
      <c r="W29" s="77">
        <f t="shared" si="2"/>
        <v>24</v>
      </c>
      <c r="X29" s="37"/>
      <c r="Y29" s="38"/>
      <c r="AA29" s="75">
        <v>0</v>
      </c>
      <c r="AB29" s="76">
        <v>0</v>
      </c>
      <c r="AC29" s="76">
        <v>0</v>
      </c>
      <c r="AD29" s="76">
        <v>0</v>
      </c>
      <c r="AE29" s="76">
        <v>0</v>
      </c>
      <c r="AF29" s="77">
        <f t="shared" si="3"/>
        <v>24</v>
      </c>
      <c r="AG29" s="26"/>
      <c r="AH29" s="24">
        <v>0</v>
      </c>
      <c r="AI29" s="14">
        <v>0</v>
      </c>
      <c r="AJ29" s="14">
        <v>0</v>
      </c>
      <c r="AK29" s="14">
        <v>0</v>
      </c>
      <c r="AL29" s="14">
        <v>0</v>
      </c>
      <c r="AM29" s="77">
        <f t="shared" si="4"/>
        <v>25</v>
      </c>
      <c r="AN29" s="24">
        <v>0</v>
      </c>
      <c r="AO29" s="14">
        <v>0</v>
      </c>
      <c r="AP29" s="14">
        <v>0</v>
      </c>
      <c r="AQ29" s="14">
        <v>0</v>
      </c>
      <c r="AR29" s="14">
        <v>0</v>
      </c>
      <c r="AS29" s="77">
        <f t="shared" si="5"/>
        <v>25</v>
      </c>
      <c r="AT29" s="37"/>
      <c r="AU29" s="38"/>
    </row>
    <row r="30" spans="1:47" ht="18" customHeight="1">
      <c r="A30" s="65">
        <v>345</v>
      </c>
      <c r="B30" s="68" t="s">
        <v>43</v>
      </c>
      <c r="C30" s="33" t="s">
        <v>44</v>
      </c>
      <c r="D30" s="41"/>
      <c r="E30" s="75">
        <v>0</v>
      </c>
      <c r="F30" s="76">
        <v>0</v>
      </c>
      <c r="G30" s="76">
        <v>0</v>
      </c>
      <c r="H30" s="76">
        <v>0</v>
      </c>
      <c r="I30" s="76">
        <v>0</v>
      </c>
      <c r="J30" s="77">
        <f t="shared" si="0"/>
        <v>24</v>
      </c>
      <c r="K30" s="26"/>
      <c r="L30" s="24">
        <v>0</v>
      </c>
      <c r="M30" s="14">
        <v>0</v>
      </c>
      <c r="N30" s="14">
        <v>0</v>
      </c>
      <c r="O30" s="14">
        <v>0</v>
      </c>
      <c r="P30" s="14">
        <v>0</v>
      </c>
      <c r="Q30" s="77">
        <f t="shared" si="1"/>
        <v>24</v>
      </c>
      <c r="R30" s="24">
        <v>0</v>
      </c>
      <c r="S30" s="14">
        <v>0</v>
      </c>
      <c r="T30" s="14">
        <v>0</v>
      </c>
      <c r="U30" s="14">
        <v>0</v>
      </c>
      <c r="V30" s="14">
        <v>0</v>
      </c>
      <c r="W30" s="77">
        <f t="shared" si="2"/>
        <v>24</v>
      </c>
      <c r="X30" s="37"/>
      <c r="Y30" s="38"/>
      <c r="AA30" s="75">
        <v>0</v>
      </c>
      <c r="AB30" s="76">
        <v>0</v>
      </c>
      <c r="AC30" s="76">
        <v>0</v>
      </c>
      <c r="AD30" s="76">
        <v>0</v>
      </c>
      <c r="AE30" s="76">
        <v>0</v>
      </c>
      <c r="AF30" s="77">
        <f t="shared" si="3"/>
        <v>24</v>
      </c>
      <c r="AG30" s="26"/>
      <c r="AH30" s="24">
        <v>0</v>
      </c>
      <c r="AI30" s="14">
        <v>0</v>
      </c>
      <c r="AJ30" s="14">
        <v>0</v>
      </c>
      <c r="AK30" s="14">
        <v>0</v>
      </c>
      <c r="AL30" s="14">
        <v>0</v>
      </c>
      <c r="AM30" s="77">
        <f t="shared" si="4"/>
        <v>25</v>
      </c>
      <c r="AN30" s="24">
        <v>0</v>
      </c>
      <c r="AO30" s="14">
        <v>0</v>
      </c>
      <c r="AP30" s="14">
        <v>0</v>
      </c>
      <c r="AQ30" s="14">
        <v>0</v>
      </c>
      <c r="AR30" s="14">
        <v>0</v>
      </c>
      <c r="AS30" s="77">
        <f t="shared" si="5"/>
        <v>25</v>
      </c>
      <c r="AT30" s="37"/>
      <c r="AU30" s="38"/>
    </row>
    <row r="31" spans="1:47" ht="18" customHeight="1">
      <c r="A31" s="65">
        <v>346</v>
      </c>
      <c r="B31" s="68" t="s">
        <v>45</v>
      </c>
      <c r="C31" s="33" t="s">
        <v>46</v>
      </c>
      <c r="D31" s="41"/>
      <c r="E31" s="75">
        <v>0</v>
      </c>
      <c r="F31" s="76">
        <v>0</v>
      </c>
      <c r="G31" s="76">
        <v>0</v>
      </c>
      <c r="H31" s="76">
        <v>0</v>
      </c>
      <c r="I31" s="76">
        <v>0</v>
      </c>
      <c r="J31" s="77">
        <f t="shared" si="0"/>
        <v>24</v>
      </c>
      <c r="K31" s="26"/>
      <c r="L31" s="24">
        <v>0</v>
      </c>
      <c r="M31" s="14">
        <v>0</v>
      </c>
      <c r="N31" s="14">
        <v>0</v>
      </c>
      <c r="O31" s="14">
        <v>0</v>
      </c>
      <c r="P31" s="14">
        <v>0</v>
      </c>
      <c r="Q31" s="77">
        <f t="shared" si="1"/>
        <v>24</v>
      </c>
      <c r="R31" s="24">
        <v>0</v>
      </c>
      <c r="S31" s="14">
        <v>0</v>
      </c>
      <c r="T31" s="14">
        <v>0</v>
      </c>
      <c r="U31" s="14">
        <v>0</v>
      </c>
      <c r="V31" s="14">
        <v>0</v>
      </c>
      <c r="W31" s="77">
        <f t="shared" si="2"/>
        <v>24</v>
      </c>
      <c r="X31" s="37"/>
      <c r="Y31" s="38"/>
      <c r="AA31" s="75">
        <v>0</v>
      </c>
      <c r="AB31" s="76">
        <v>0</v>
      </c>
      <c r="AC31" s="76">
        <v>0</v>
      </c>
      <c r="AD31" s="76">
        <v>0</v>
      </c>
      <c r="AE31" s="76">
        <v>0</v>
      </c>
      <c r="AF31" s="77">
        <f t="shared" si="3"/>
        <v>24</v>
      </c>
      <c r="AG31" s="26"/>
      <c r="AH31" s="24">
        <v>0</v>
      </c>
      <c r="AI31" s="14">
        <v>0</v>
      </c>
      <c r="AJ31" s="14">
        <v>0</v>
      </c>
      <c r="AK31" s="14">
        <v>0</v>
      </c>
      <c r="AL31" s="14">
        <v>0</v>
      </c>
      <c r="AM31" s="77">
        <f t="shared" si="4"/>
        <v>25</v>
      </c>
      <c r="AN31" s="24">
        <v>0</v>
      </c>
      <c r="AO31" s="14">
        <v>0</v>
      </c>
      <c r="AP31" s="14">
        <v>0</v>
      </c>
      <c r="AQ31" s="14">
        <v>0</v>
      </c>
      <c r="AR31" s="14">
        <v>0</v>
      </c>
      <c r="AS31" s="77">
        <f t="shared" si="5"/>
        <v>25</v>
      </c>
      <c r="AT31" s="37"/>
      <c r="AU31" s="38"/>
    </row>
    <row r="32" spans="1:47" ht="18" customHeight="1">
      <c r="A32" s="65">
        <v>348</v>
      </c>
      <c r="B32" s="68" t="s">
        <v>47</v>
      </c>
      <c r="C32" s="33" t="s">
        <v>93</v>
      </c>
      <c r="D32" s="41"/>
      <c r="E32" s="75">
        <v>0</v>
      </c>
      <c r="F32" s="76">
        <v>0</v>
      </c>
      <c r="G32" s="76">
        <v>0</v>
      </c>
      <c r="H32" s="76">
        <v>0</v>
      </c>
      <c r="I32" s="76">
        <v>0</v>
      </c>
      <c r="J32" s="77">
        <f t="shared" si="0"/>
        <v>24</v>
      </c>
      <c r="K32" s="26"/>
      <c r="L32" s="24">
        <v>0</v>
      </c>
      <c r="M32" s="14">
        <v>0</v>
      </c>
      <c r="N32" s="14">
        <v>0</v>
      </c>
      <c r="O32" s="14">
        <v>0</v>
      </c>
      <c r="P32" s="14">
        <v>0</v>
      </c>
      <c r="Q32" s="77">
        <f t="shared" si="1"/>
        <v>24</v>
      </c>
      <c r="R32" s="24">
        <v>0</v>
      </c>
      <c r="S32" s="14">
        <v>0</v>
      </c>
      <c r="T32" s="14">
        <v>0</v>
      </c>
      <c r="U32" s="14">
        <v>0</v>
      </c>
      <c r="V32" s="14">
        <v>0</v>
      </c>
      <c r="W32" s="77">
        <f t="shared" si="2"/>
        <v>24</v>
      </c>
      <c r="X32" s="37"/>
      <c r="Y32" s="38"/>
      <c r="AA32" s="75">
        <v>0</v>
      </c>
      <c r="AB32" s="76">
        <v>0</v>
      </c>
      <c r="AC32" s="76">
        <v>0</v>
      </c>
      <c r="AD32" s="76">
        <v>0</v>
      </c>
      <c r="AE32" s="76">
        <v>0</v>
      </c>
      <c r="AF32" s="77">
        <f t="shared" si="3"/>
        <v>24</v>
      </c>
      <c r="AG32" s="26"/>
      <c r="AH32" s="24">
        <v>0</v>
      </c>
      <c r="AI32" s="14">
        <v>0</v>
      </c>
      <c r="AJ32" s="14">
        <v>0</v>
      </c>
      <c r="AK32" s="14">
        <v>0</v>
      </c>
      <c r="AL32" s="14">
        <v>0</v>
      </c>
      <c r="AM32" s="77">
        <f t="shared" si="4"/>
        <v>25</v>
      </c>
      <c r="AN32" s="24">
        <v>0</v>
      </c>
      <c r="AO32" s="14">
        <v>0</v>
      </c>
      <c r="AP32" s="14">
        <v>0</v>
      </c>
      <c r="AQ32" s="14">
        <v>0</v>
      </c>
      <c r="AR32" s="14">
        <v>0</v>
      </c>
      <c r="AS32" s="77">
        <f t="shared" si="5"/>
        <v>25</v>
      </c>
      <c r="AT32" s="37"/>
      <c r="AU32" s="38"/>
    </row>
    <row r="33" spans="1:47" ht="18" customHeight="1">
      <c r="A33" s="65">
        <v>349</v>
      </c>
      <c r="B33" s="68" t="s">
        <v>88</v>
      </c>
      <c r="C33" s="33" t="s">
        <v>89</v>
      </c>
      <c r="D33" s="41"/>
      <c r="E33" s="75">
        <v>0</v>
      </c>
      <c r="F33" s="76">
        <v>0</v>
      </c>
      <c r="G33" s="76">
        <v>0</v>
      </c>
      <c r="H33" s="76">
        <v>0</v>
      </c>
      <c r="I33" s="76">
        <v>0</v>
      </c>
      <c r="J33" s="77">
        <f t="shared" si="0"/>
        <v>24</v>
      </c>
      <c r="K33" s="26"/>
      <c r="L33" s="24">
        <v>0</v>
      </c>
      <c r="M33" s="14">
        <v>0</v>
      </c>
      <c r="N33" s="14">
        <v>0</v>
      </c>
      <c r="O33" s="14">
        <v>0</v>
      </c>
      <c r="P33" s="14">
        <v>0</v>
      </c>
      <c r="Q33" s="77">
        <f t="shared" si="1"/>
        <v>24</v>
      </c>
      <c r="R33" s="24">
        <v>0</v>
      </c>
      <c r="S33" s="14">
        <v>0</v>
      </c>
      <c r="T33" s="14">
        <v>0</v>
      </c>
      <c r="U33" s="14">
        <v>0</v>
      </c>
      <c r="V33" s="14">
        <v>0</v>
      </c>
      <c r="W33" s="77">
        <f t="shared" si="2"/>
        <v>24</v>
      </c>
      <c r="X33" s="37"/>
      <c r="Y33" s="38"/>
      <c r="AA33" s="75">
        <v>0</v>
      </c>
      <c r="AB33" s="76">
        <v>0</v>
      </c>
      <c r="AC33" s="76">
        <v>0</v>
      </c>
      <c r="AD33" s="76">
        <v>0</v>
      </c>
      <c r="AE33" s="76">
        <v>0</v>
      </c>
      <c r="AF33" s="77">
        <f t="shared" si="3"/>
        <v>24</v>
      </c>
      <c r="AG33" s="26"/>
      <c r="AH33" s="24">
        <v>0</v>
      </c>
      <c r="AI33" s="14">
        <v>0</v>
      </c>
      <c r="AJ33" s="14">
        <v>0</v>
      </c>
      <c r="AK33" s="14">
        <v>0</v>
      </c>
      <c r="AL33" s="14">
        <v>0</v>
      </c>
      <c r="AM33" s="77">
        <f t="shared" si="4"/>
        <v>25</v>
      </c>
      <c r="AN33" s="24">
        <v>0</v>
      </c>
      <c r="AO33" s="14">
        <v>0</v>
      </c>
      <c r="AP33" s="14">
        <v>0</v>
      </c>
      <c r="AQ33" s="14">
        <v>0</v>
      </c>
      <c r="AR33" s="14">
        <v>0</v>
      </c>
      <c r="AS33" s="77">
        <f t="shared" si="5"/>
        <v>25</v>
      </c>
      <c r="AT33" s="37"/>
      <c r="AU33" s="38"/>
    </row>
    <row r="34" spans="1:47" ht="18" customHeight="1">
      <c r="A34" s="65">
        <v>353</v>
      </c>
      <c r="B34" s="68" t="s">
        <v>48</v>
      </c>
      <c r="C34" s="33" t="s">
        <v>49</v>
      </c>
      <c r="D34" s="41"/>
      <c r="E34" s="75">
        <v>0</v>
      </c>
      <c r="F34" s="76">
        <v>0</v>
      </c>
      <c r="G34" s="76">
        <v>0</v>
      </c>
      <c r="H34" s="76">
        <v>0</v>
      </c>
      <c r="I34" s="76">
        <v>0</v>
      </c>
      <c r="J34" s="77">
        <f t="shared" si="0"/>
        <v>24</v>
      </c>
      <c r="K34" s="26"/>
      <c r="L34" s="24">
        <v>0</v>
      </c>
      <c r="M34" s="14">
        <v>0</v>
      </c>
      <c r="N34" s="14">
        <v>0</v>
      </c>
      <c r="O34" s="14">
        <v>0</v>
      </c>
      <c r="P34" s="14">
        <v>0</v>
      </c>
      <c r="Q34" s="77">
        <f t="shared" si="1"/>
        <v>24</v>
      </c>
      <c r="R34" s="24">
        <v>0</v>
      </c>
      <c r="S34" s="14">
        <v>0</v>
      </c>
      <c r="T34" s="14">
        <v>0</v>
      </c>
      <c r="U34" s="14">
        <v>0</v>
      </c>
      <c r="V34" s="14">
        <v>0</v>
      </c>
      <c r="W34" s="77">
        <f t="shared" si="2"/>
        <v>24</v>
      </c>
      <c r="X34" s="37"/>
      <c r="Y34" s="38"/>
      <c r="AA34" s="75">
        <v>0</v>
      </c>
      <c r="AB34" s="76">
        <v>0</v>
      </c>
      <c r="AC34" s="76">
        <v>0</v>
      </c>
      <c r="AD34" s="76">
        <v>0</v>
      </c>
      <c r="AE34" s="76">
        <v>0</v>
      </c>
      <c r="AF34" s="77">
        <f t="shared" si="3"/>
        <v>24</v>
      </c>
      <c r="AG34" s="26"/>
      <c r="AH34" s="24">
        <v>0</v>
      </c>
      <c r="AI34" s="14">
        <v>0</v>
      </c>
      <c r="AJ34" s="14">
        <v>0</v>
      </c>
      <c r="AK34" s="14">
        <v>0</v>
      </c>
      <c r="AL34" s="14">
        <v>0</v>
      </c>
      <c r="AM34" s="77">
        <f t="shared" si="4"/>
        <v>25</v>
      </c>
      <c r="AN34" s="24">
        <v>0</v>
      </c>
      <c r="AO34" s="14">
        <v>0</v>
      </c>
      <c r="AP34" s="14">
        <v>0</v>
      </c>
      <c r="AQ34" s="14">
        <v>0</v>
      </c>
      <c r="AR34" s="14">
        <v>0</v>
      </c>
      <c r="AS34" s="77">
        <f t="shared" si="5"/>
        <v>25</v>
      </c>
      <c r="AT34" s="37"/>
      <c r="AU34" s="38"/>
    </row>
    <row r="35" spans="1:47" ht="18" customHeight="1">
      <c r="A35" s="65">
        <v>355</v>
      </c>
      <c r="B35" s="68" t="s">
        <v>100</v>
      </c>
      <c r="C35" s="33" t="s">
        <v>202</v>
      </c>
      <c r="D35" s="41"/>
      <c r="E35" s="75">
        <v>60033591</v>
      </c>
      <c r="F35" s="76">
        <v>4208339</v>
      </c>
      <c r="G35" s="76">
        <v>55825252</v>
      </c>
      <c r="H35" s="76">
        <v>120</v>
      </c>
      <c r="I35" s="76">
        <v>38768</v>
      </c>
      <c r="J35" s="77">
        <f t="shared" si="0"/>
        <v>22</v>
      </c>
      <c r="K35" s="26"/>
      <c r="L35" s="24">
        <v>64867591</v>
      </c>
      <c r="M35" s="14">
        <v>4972339</v>
      </c>
      <c r="N35" s="14">
        <v>59895252</v>
      </c>
      <c r="O35" s="14">
        <v>120</v>
      </c>
      <c r="P35" s="14">
        <v>41594</v>
      </c>
      <c r="Q35" s="77">
        <f t="shared" si="1"/>
        <v>19</v>
      </c>
      <c r="R35" s="24">
        <v>65905618.759999998</v>
      </c>
      <c r="S35" s="14">
        <v>5958012</v>
      </c>
      <c r="T35" s="14">
        <v>59947606.759999998</v>
      </c>
      <c r="U35" s="14">
        <v>106.84</v>
      </c>
      <c r="V35" s="14">
        <v>46758</v>
      </c>
      <c r="W35" s="77">
        <f t="shared" si="2"/>
        <v>16</v>
      </c>
      <c r="X35" s="37"/>
      <c r="Y35" s="38"/>
      <c r="AA35" s="75">
        <v>63321654</v>
      </c>
      <c r="AB35" s="76">
        <v>4705139</v>
      </c>
      <c r="AC35" s="76">
        <v>58616515</v>
      </c>
      <c r="AD35" s="76">
        <v>120</v>
      </c>
      <c r="AE35" s="76">
        <v>40706</v>
      </c>
      <c r="AF35" s="77">
        <f t="shared" si="3"/>
        <v>22</v>
      </c>
      <c r="AG35" s="26"/>
      <c r="AH35" s="24">
        <v>68167654</v>
      </c>
      <c r="AI35" s="14">
        <v>5601139</v>
      </c>
      <c r="AJ35" s="14">
        <v>62566515</v>
      </c>
      <c r="AK35" s="14">
        <v>120</v>
      </c>
      <c r="AL35" s="14">
        <v>43449</v>
      </c>
      <c r="AM35" s="77">
        <f t="shared" si="4"/>
        <v>20</v>
      </c>
      <c r="AN35" s="24">
        <v>67244992</v>
      </c>
      <c r="AO35" s="14">
        <v>5117034</v>
      </c>
      <c r="AP35" s="14">
        <v>62127958</v>
      </c>
      <c r="AQ35" s="14">
        <v>108.32</v>
      </c>
      <c r="AR35" s="14">
        <v>47797</v>
      </c>
      <c r="AS35" s="77">
        <f t="shared" si="5"/>
        <v>18</v>
      </c>
      <c r="AT35" s="37"/>
      <c r="AU35" s="38"/>
    </row>
    <row r="36" spans="1:47" ht="18" customHeight="1">
      <c r="A36" s="65">
        <v>358</v>
      </c>
      <c r="B36" s="68" t="s">
        <v>50</v>
      </c>
      <c r="C36" s="33" t="s">
        <v>51</v>
      </c>
      <c r="D36" s="41"/>
      <c r="E36" s="75">
        <v>129986808</v>
      </c>
      <c r="F36" s="76">
        <v>51387392</v>
      </c>
      <c r="G36" s="76">
        <v>78599416</v>
      </c>
      <c r="H36" s="76">
        <v>129</v>
      </c>
      <c r="I36" s="76">
        <v>50775</v>
      </c>
      <c r="J36" s="77">
        <f t="shared" si="0"/>
        <v>8</v>
      </c>
      <c r="K36" s="26"/>
      <c r="L36" s="24">
        <v>132797208</v>
      </c>
      <c r="M36" s="14">
        <v>54197792</v>
      </c>
      <c r="N36" s="14">
        <v>78599416</v>
      </c>
      <c r="O36" s="14">
        <v>129</v>
      </c>
      <c r="P36" s="14">
        <v>50775</v>
      </c>
      <c r="Q36" s="77">
        <f t="shared" si="1"/>
        <v>8</v>
      </c>
      <c r="R36" s="24">
        <v>131930019</v>
      </c>
      <c r="S36" s="14">
        <v>51245856</v>
      </c>
      <c r="T36" s="14">
        <v>80684163</v>
      </c>
      <c r="U36" s="14">
        <v>123.43</v>
      </c>
      <c r="V36" s="14">
        <v>54474</v>
      </c>
      <c r="W36" s="77">
        <f t="shared" si="2"/>
        <v>9</v>
      </c>
      <c r="X36" s="37"/>
      <c r="Y36" s="38"/>
      <c r="AA36" s="75">
        <v>136165869</v>
      </c>
      <c r="AB36" s="76">
        <v>51572200</v>
      </c>
      <c r="AC36" s="76">
        <v>84593669</v>
      </c>
      <c r="AD36" s="76">
        <v>129</v>
      </c>
      <c r="AE36" s="76">
        <v>54647</v>
      </c>
      <c r="AF36" s="77">
        <f t="shared" si="3"/>
        <v>7</v>
      </c>
      <c r="AG36" s="26"/>
      <c r="AH36" s="24">
        <v>136165869</v>
      </c>
      <c r="AI36" s="14">
        <v>51572200</v>
      </c>
      <c r="AJ36" s="14">
        <v>84593669</v>
      </c>
      <c r="AK36" s="14">
        <v>129</v>
      </c>
      <c r="AL36" s="14">
        <v>54647</v>
      </c>
      <c r="AM36" s="77">
        <f t="shared" si="4"/>
        <v>7</v>
      </c>
      <c r="AN36" s="24">
        <v>138829583</v>
      </c>
      <c r="AO36" s="14">
        <v>52883945</v>
      </c>
      <c r="AP36" s="14">
        <v>85945638</v>
      </c>
      <c r="AQ36" s="14">
        <v>124.69</v>
      </c>
      <c r="AR36" s="14">
        <v>57440</v>
      </c>
      <c r="AS36" s="77">
        <f t="shared" si="5"/>
        <v>8</v>
      </c>
      <c r="AT36" s="37"/>
      <c r="AU36" s="38"/>
    </row>
    <row r="37" spans="1:47" ht="18" customHeight="1">
      <c r="A37" s="65">
        <v>359</v>
      </c>
      <c r="B37" s="68" t="s">
        <v>190</v>
      </c>
      <c r="C37" s="33" t="s">
        <v>203</v>
      </c>
      <c r="D37" s="41"/>
      <c r="E37" s="75">
        <v>14180171</v>
      </c>
      <c r="F37" s="76">
        <v>6202800</v>
      </c>
      <c r="G37" s="76">
        <v>7977371</v>
      </c>
      <c r="H37" s="76">
        <v>12</v>
      </c>
      <c r="I37" s="76">
        <v>55398</v>
      </c>
      <c r="J37" s="77">
        <f t="shared" si="0"/>
        <v>4</v>
      </c>
      <c r="K37" s="26"/>
      <c r="L37" s="24">
        <v>14180171</v>
      </c>
      <c r="M37" s="14">
        <v>6202800</v>
      </c>
      <c r="N37" s="14">
        <v>7977371</v>
      </c>
      <c r="O37" s="14">
        <v>12</v>
      </c>
      <c r="P37" s="14">
        <v>55398</v>
      </c>
      <c r="Q37" s="77">
        <f t="shared" si="1"/>
        <v>4</v>
      </c>
      <c r="R37" s="24">
        <v>14072069</v>
      </c>
      <c r="S37" s="14">
        <v>5986950</v>
      </c>
      <c r="T37" s="14">
        <v>8085119</v>
      </c>
      <c r="U37" s="14">
        <v>11.84</v>
      </c>
      <c r="V37" s="14">
        <v>56905</v>
      </c>
      <c r="W37" s="77">
        <f t="shared" si="2"/>
        <v>5</v>
      </c>
      <c r="X37" s="37"/>
      <c r="Y37" s="38"/>
      <c r="AA37" s="75">
        <v>15302640</v>
      </c>
      <c r="AB37" s="76">
        <v>6926400</v>
      </c>
      <c r="AC37" s="76">
        <v>8376240</v>
      </c>
      <c r="AD37" s="76">
        <v>12</v>
      </c>
      <c r="AE37" s="76">
        <v>58168</v>
      </c>
      <c r="AF37" s="77">
        <f t="shared" si="3"/>
        <v>4</v>
      </c>
      <c r="AG37" s="26"/>
      <c r="AH37" s="24">
        <v>15302640</v>
      </c>
      <c r="AI37" s="14">
        <v>6926400</v>
      </c>
      <c r="AJ37" s="14">
        <v>8376240</v>
      </c>
      <c r="AK37" s="14">
        <v>12</v>
      </c>
      <c r="AL37" s="14">
        <v>58168</v>
      </c>
      <c r="AM37" s="77">
        <f t="shared" si="4"/>
        <v>5</v>
      </c>
      <c r="AN37" s="24">
        <v>15562806</v>
      </c>
      <c r="AO37" s="14">
        <v>6247900</v>
      </c>
      <c r="AP37" s="14">
        <v>9314906</v>
      </c>
      <c r="AQ37" s="14">
        <v>11.83</v>
      </c>
      <c r="AR37" s="14">
        <v>65616</v>
      </c>
      <c r="AS37" s="77">
        <f t="shared" si="5"/>
        <v>4</v>
      </c>
      <c r="AT37" s="37"/>
      <c r="AU37" s="38"/>
    </row>
    <row r="38" spans="1:47" ht="18" customHeight="1">
      <c r="A38" s="65">
        <v>361</v>
      </c>
      <c r="B38" s="68" t="s">
        <v>52</v>
      </c>
      <c r="C38" s="33" t="s">
        <v>53</v>
      </c>
      <c r="D38" s="41"/>
      <c r="E38" s="75">
        <v>53272327</v>
      </c>
      <c r="F38" s="76">
        <v>9711740</v>
      </c>
      <c r="G38" s="76">
        <v>43560587</v>
      </c>
      <c r="H38" s="76">
        <v>71</v>
      </c>
      <c r="I38" s="76">
        <v>51127</v>
      </c>
      <c r="J38" s="77">
        <f t="shared" si="0"/>
        <v>6</v>
      </c>
      <c r="K38" s="26"/>
      <c r="L38" s="24">
        <v>53739722</v>
      </c>
      <c r="M38" s="14">
        <v>9779135</v>
      </c>
      <c r="N38" s="14">
        <v>43960587</v>
      </c>
      <c r="O38" s="14">
        <v>71</v>
      </c>
      <c r="P38" s="14">
        <v>51597</v>
      </c>
      <c r="Q38" s="77">
        <f t="shared" si="1"/>
        <v>6</v>
      </c>
      <c r="R38" s="24">
        <v>53403619</v>
      </c>
      <c r="S38" s="14">
        <v>9716277</v>
      </c>
      <c r="T38" s="14">
        <v>43687342</v>
      </c>
      <c r="U38" s="14">
        <v>66.86</v>
      </c>
      <c r="V38" s="14">
        <v>54451</v>
      </c>
      <c r="W38" s="77">
        <f t="shared" si="2"/>
        <v>10</v>
      </c>
      <c r="X38" s="37"/>
      <c r="Y38" s="38"/>
      <c r="AA38" s="75">
        <v>55450356</v>
      </c>
      <c r="AB38" s="76">
        <v>9711740</v>
      </c>
      <c r="AC38" s="76">
        <v>45738616</v>
      </c>
      <c r="AD38" s="76">
        <v>71</v>
      </c>
      <c r="AE38" s="76">
        <v>53684</v>
      </c>
      <c r="AF38" s="77">
        <f t="shared" si="3"/>
        <v>8</v>
      </c>
      <c r="AG38" s="26"/>
      <c r="AH38" s="24">
        <v>57734532</v>
      </c>
      <c r="AI38" s="14">
        <v>10707500</v>
      </c>
      <c r="AJ38" s="14">
        <v>47027032</v>
      </c>
      <c r="AK38" s="14">
        <v>73</v>
      </c>
      <c r="AL38" s="14">
        <v>53684</v>
      </c>
      <c r="AM38" s="77">
        <f t="shared" si="4"/>
        <v>8</v>
      </c>
      <c r="AN38" s="24">
        <v>57276072</v>
      </c>
      <c r="AO38" s="14">
        <v>10787108</v>
      </c>
      <c r="AP38" s="14">
        <v>46488964</v>
      </c>
      <c r="AQ38" s="14">
        <v>68.69</v>
      </c>
      <c r="AR38" s="14">
        <v>56399</v>
      </c>
      <c r="AS38" s="77">
        <f t="shared" si="5"/>
        <v>9</v>
      </c>
      <c r="AT38" s="37"/>
      <c r="AU38" s="38"/>
    </row>
    <row r="39" spans="1:47" ht="18" customHeight="1">
      <c r="A39" s="65">
        <v>362</v>
      </c>
      <c r="B39" s="68" t="s">
        <v>187</v>
      </c>
      <c r="C39" s="33" t="s">
        <v>204</v>
      </c>
      <c r="D39" s="41"/>
      <c r="E39" s="75">
        <v>0</v>
      </c>
      <c r="F39" s="76">
        <v>0</v>
      </c>
      <c r="G39" s="76">
        <v>0</v>
      </c>
      <c r="H39" s="76">
        <v>0</v>
      </c>
      <c r="I39" s="76">
        <v>0</v>
      </c>
      <c r="J39" s="77">
        <f t="shared" si="0"/>
        <v>24</v>
      </c>
      <c r="K39" s="26"/>
      <c r="L39" s="24">
        <v>0</v>
      </c>
      <c r="M39" s="14">
        <v>0</v>
      </c>
      <c r="N39" s="14">
        <v>0</v>
      </c>
      <c r="O39" s="14">
        <v>0</v>
      </c>
      <c r="P39" s="14">
        <v>0</v>
      </c>
      <c r="Q39" s="77">
        <f t="shared" si="1"/>
        <v>24</v>
      </c>
      <c r="R39" s="24">
        <v>0</v>
      </c>
      <c r="S39" s="14">
        <v>0</v>
      </c>
      <c r="T39" s="14">
        <v>0</v>
      </c>
      <c r="U39" s="14">
        <v>0</v>
      </c>
      <c r="V39" s="14">
        <v>0</v>
      </c>
      <c r="W39" s="77">
        <f t="shared" si="2"/>
        <v>24</v>
      </c>
      <c r="X39" s="37"/>
      <c r="Y39" s="38"/>
      <c r="AA39" s="75">
        <v>0</v>
      </c>
      <c r="AB39" s="76">
        <v>0</v>
      </c>
      <c r="AC39" s="76">
        <v>0</v>
      </c>
      <c r="AD39" s="76">
        <v>0</v>
      </c>
      <c r="AE39" s="76">
        <v>0</v>
      </c>
      <c r="AF39" s="77">
        <f t="shared" si="3"/>
        <v>24</v>
      </c>
      <c r="AG39" s="26"/>
      <c r="AH39" s="24">
        <v>0</v>
      </c>
      <c r="AI39" s="14">
        <v>0</v>
      </c>
      <c r="AJ39" s="14">
        <v>0</v>
      </c>
      <c r="AK39" s="14">
        <v>0</v>
      </c>
      <c r="AL39" s="14">
        <v>0</v>
      </c>
      <c r="AM39" s="77">
        <f t="shared" si="4"/>
        <v>25</v>
      </c>
      <c r="AN39" s="24">
        <v>0</v>
      </c>
      <c r="AO39" s="14">
        <v>0</v>
      </c>
      <c r="AP39" s="14">
        <v>0</v>
      </c>
      <c r="AQ39" s="14">
        <v>0</v>
      </c>
      <c r="AR39" s="14">
        <v>0</v>
      </c>
      <c r="AS39" s="77">
        <f t="shared" si="5"/>
        <v>25</v>
      </c>
      <c r="AT39" s="37"/>
      <c r="AU39" s="38"/>
    </row>
    <row r="40" spans="1:47" ht="18" customHeight="1">
      <c r="A40" s="65">
        <v>364</v>
      </c>
      <c r="B40" s="68" t="s">
        <v>219</v>
      </c>
      <c r="C40" s="33"/>
      <c r="D40" s="41"/>
      <c r="E40" s="75">
        <v>0</v>
      </c>
      <c r="F40" s="76">
        <v>0</v>
      </c>
      <c r="G40" s="76">
        <v>0</v>
      </c>
      <c r="H40" s="76">
        <v>0</v>
      </c>
      <c r="I40" s="76">
        <v>0</v>
      </c>
      <c r="J40" s="77">
        <f t="shared" si="0"/>
        <v>24</v>
      </c>
      <c r="K40" s="26"/>
      <c r="L40" s="24">
        <v>0</v>
      </c>
      <c r="M40" s="14">
        <v>0</v>
      </c>
      <c r="N40" s="14">
        <v>0</v>
      </c>
      <c r="O40" s="14">
        <v>0</v>
      </c>
      <c r="P40" s="14">
        <v>0</v>
      </c>
      <c r="Q40" s="77">
        <f t="shared" si="1"/>
        <v>24</v>
      </c>
      <c r="R40" s="24">
        <v>0</v>
      </c>
      <c r="S40" s="14">
        <v>0</v>
      </c>
      <c r="T40" s="14">
        <v>0</v>
      </c>
      <c r="U40" s="14">
        <v>0</v>
      </c>
      <c r="V40" s="14">
        <v>0</v>
      </c>
      <c r="W40" s="77">
        <f t="shared" si="2"/>
        <v>24</v>
      </c>
      <c r="X40" s="37"/>
      <c r="Y40" s="38"/>
      <c r="AA40" s="75">
        <v>0</v>
      </c>
      <c r="AB40" s="76">
        <v>0</v>
      </c>
      <c r="AC40" s="76">
        <v>0</v>
      </c>
      <c r="AD40" s="76">
        <v>0</v>
      </c>
      <c r="AE40" s="76">
        <v>0</v>
      </c>
      <c r="AF40" s="77">
        <f t="shared" si="3"/>
        <v>24</v>
      </c>
      <c r="AG40" s="26"/>
      <c r="AH40" s="24">
        <v>0</v>
      </c>
      <c r="AI40" s="14">
        <v>0</v>
      </c>
      <c r="AJ40" s="14">
        <v>0</v>
      </c>
      <c r="AK40" s="14">
        <v>0</v>
      </c>
      <c r="AL40" s="14">
        <v>0</v>
      </c>
      <c r="AM40" s="77">
        <f t="shared" si="4"/>
        <v>25</v>
      </c>
      <c r="AN40" s="24">
        <v>0</v>
      </c>
      <c r="AO40" s="14">
        <v>0</v>
      </c>
      <c r="AP40" s="14">
        <v>0</v>
      </c>
      <c r="AQ40" s="14">
        <v>0</v>
      </c>
      <c r="AR40" s="14">
        <v>0</v>
      </c>
      <c r="AS40" s="77">
        <f t="shared" si="5"/>
        <v>25</v>
      </c>
      <c r="AT40" s="37"/>
      <c r="AU40" s="38"/>
    </row>
    <row r="41" spans="1:47" ht="18" customHeight="1">
      <c r="A41" s="65">
        <v>371</v>
      </c>
      <c r="B41" s="68" t="s">
        <v>193</v>
      </c>
      <c r="C41" s="33" t="s">
        <v>205</v>
      </c>
      <c r="D41" s="41"/>
      <c r="E41" s="75">
        <v>0</v>
      </c>
      <c r="F41" s="76">
        <v>0</v>
      </c>
      <c r="G41" s="76">
        <v>0</v>
      </c>
      <c r="H41" s="76">
        <v>0</v>
      </c>
      <c r="I41" s="76">
        <v>0</v>
      </c>
      <c r="J41" s="77">
        <f t="shared" si="0"/>
        <v>24</v>
      </c>
      <c r="K41" s="26"/>
      <c r="L41" s="24">
        <v>0</v>
      </c>
      <c r="M41" s="14">
        <v>0</v>
      </c>
      <c r="N41" s="14">
        <v>0</v>
      </c>
      <c r="O41" s="14">
        <v>0</v>
      </c>
      <c r="P41" s="14">
        <v>0</v>
      </c>
      <c r="Q41" s="77">
        <f t="shared" si="1"/>
        <v>24</v>
      </c>
      <c r="R41" s="24">
        <v>0</v>
      </c>
      <c r="S41" s="14">
        <v>0</v>
      </c>
      <c r="T41" s="14">
        <v>0</v>
      </c>
      <c r="U41" s="14">
        <v>0</v>
      </c>
      <c r="V41" s="14">
        <v>0</v>
      </c>
      <c r="W41" s="77">
        <f t="shared" si="2"/>
        <v>24</v>
      </c>
      <c r="X41" s="37"/>
      <c r="Y41" s="38"/>
      <c r="AA41" s="75">
        <v>0</v>
      </c>
      <c r="AB41" s="76">
        <v>0</v>
      </c>
      <c r="AC41" s="76">
        <v>0</v>
      </c>
      <c r="AD41" s="76">
        <v>0</v>
      </c>
      <c r="AE41" s="76">
        <v>0</v>
      </c>
      <c r="AF41" s="77">
        <f t="shared" si="3"/>
        <v>24</v>
      </c>
      <c r="AG41" s="26"/>
      <c r="AH41" s="24">
        <v>0</v>
      </c>
      <c r="AI41" s="14">
        <v>0</v>
      </c>
      <c r="AJ41" s="14">
        <v>0</v>
      </c>
      <c r="AK41" s="14">
        <v>0</v>
      </c>
      <c r="AL41" s="14">
        <v>0</v>
      </c>
      <c r="AM41" s="77">
        <f t="shared" si="4"/>
        <v>25</v>
      </c>
      <c r="AN41" s="24">
        <v>0</v>
      </c>
      <c r="AO41" s="14">
        <v>0</v>
      </c>
      <c r="AP41" s="14">
        <v>0</v>
      </c>
      <c r="AQ41" s="14">
        <v>0</v>
      </c>
      <c r="AR41" s="14">
        <v>0</v>
      </c>
      <c r="AS41" s="77">
        <f t="shared" si="5"/>
        <v>25</v>
      </c>
      <c r="AT41" s="37"/>
      <c r="AU41" s="38"/>
    </row>
    <row r="42" spans="1:47" ht="18" customHeight="1">
      <c r="A42" s="65">
        <v>372</v>
      </c>
      <c r="B42" s="68" t="s">
        <v>54</v>
      </c>
      <c r="C42" s="33" t="s">
        <v>55</v>
      </c>
      <c r="D42" s="41"/>
      <c r="E42" s="75">
        <v>0</v>
      </c>
      <c r="F42" s="76">
        <v>0</v>
      </c>
      <c r="G42" s="76">
        <v>0</v>
      </c>
      <c r="H42" s="76">
        <v>0</v>
      </c>
      <c r="I42" s="76">
        <v>0</v>
      </c>
      <c r="J42" s="77">
        <f t="shared" si="0"/>
        <v>24</v>
      </c>
      <c r="K42" s="26"/>
      <c r="L42" s="24">
        <v>0</v>
      </c>
      <c r="M42" s="14">
        <v>0</v>
      </c>
      <c r="N42" s="14">
        <v>0</v>
      </c>
      <c r="O42" s="14">
        <v>0</v>
      </c>
      <c r="P42" s="14">
        <v>0</v>
      </c>
      <c r="Q42" s="77">
        <f t="shared" si="1"/>
        <v>24</v>
      </c>
      <c r="R42" s="24">
        <v>0</v>
      </c>
      <c r="S42" s="14">
        <v>0</v>
      </c>
      <c r="T42" s="14">
        <v>0</v>
      </c>
      <c r="U42" s="14">
        <v>0</v>
      </c>
      <c r="V42" s="14">
        <v>0</v>
      </c>
      <c r="W42" s="77">
        <f t="shared" si="2"/>
        <v>24</v>
      </c>
      <c r="X42" s="37"/>
      <c r="Y42" s="38"/>
      <c r="AA42" s="75">
        <v>0</v>
      </c>
      <c r="AB42" s="76">
        <v>0</v>
      </c>
      <c r="AC42" s="76">
        <v>0</v>
      </c>
      <c r="AD42" s="76">
        <v>0</v>
      </c>
      <c r="AE42" s="76">
        <v>0</v>
      </c>
      <c r="AF42" s="77">
        <f t="shared" si="3"/>
        <v>24</v>
      </c>
      <c r="AG42" s="26"/>
      <c r="AH42" s="24">
        <v>0</v>
      </c>
      <c r="AI42" s="14">
        <v>0</v>
      </c>
      <c r="AJ42" s="14">
        <v>0</v>
      </c>
      <c r="AK42" s="14">
        <v>0</v>
      </c>
      <c r="AL42" s="14">
        <v>0</v>
      </c>
      <c r="AM42" s="77">
        <f t="shared" si="4"/>
        <v>25</v>
      </c>
      <c r="AN42" s="24">
        <v>0</v>
      </c>
      <c r="AO42" s="14">
        <v>0</v>
      </c>
      <c r="AP42" s="14">
        <v>0</v>
      </c>
      <c r="AQ42" s="14">
        <v>0</v>
      </c>
      <c r="AR42" s="14">
        <v>0</v>
      </c>
      <c r="AS42" s="77">
        <f t="shared" si="5"/>
        <v>25</v>
      </c>
      <c r="AT42" s="37"/>
      <c r="AU42" s="38"/>
    </row>
    <row r="43" spans="1:47" ht="18" customHeight="1">
      <c r="A43" s="65">
        <v>374</v>
      </c>
      <c r="B43" s="68" t="s">
        <v>56</v>
      </c>
      <c r="C43" s="33" t="s">
        <v>57</v>
      </c>
      <c r="D43" s="41"/>
      <c r="E43" s="145">
        <v>0</v>
      </c>
      <c r="F43" s="158">
        <v>0</v>
      </c>
      <c r="G43" s="158">
        <v>0</v>
      </c>
      <c r="H43" s="158">
        <v>0</v>
      </c>
      <c r="I43" s="158">
        <v>0</v>
      </c>
      <c r="J43" s="246">
        <f t="shared" si="0"/>
        <v>24</v>
      </c>
      <c r="K43" s="26"/>
      <c r="L43" s="159">
        <v>0</v>
      </c>
      <c r="M43" s="140">
        <v>0</v>
      </c>
      <c r="N43" s="140">
        <v>0</v>
      </c>
      <c r="O43" s="140">
        <v>0</v>
      </c>
      <c r="P43" s="140">
        <v>0</v>
      </c>
      <c r="Q43" s="246">
        <f t="shared" si="1"/>
        <v>24</v>
      </c>
      <c r="R43" s="159">
        <v>0</v>
      </c>
      <c r="S43" s="140">
        <v>0</v>
      </c>
      <c r="T43" s="140">
        <v>0</v>
      </c>
      <c r="U43" s="140">
        <v>0</v>
      </c>
      <c r="V43" s="140">
        <v>0</v>
      </c>
      <c r="W43" s="246">
        <f t="shared" si="2"/>
        <v>24</v>
      </c>
      <c r="X43" s="37"/>
      <c r="Y43" s="38"/>
      <c r="AA43" s="145">
        <v>0</v>
      </c>
      <c r="AB43" s="158">
        <v>0</v>
      </c>
      <c r="AC43" s="158">
        <v>0</v>
      </c>
      <c r="AD43" s="158">
        <v>0</v>
      </c>
      <c r="AE43" s="158">
        <v>0</v>
      </c>
      <c r="AF43" s="246">
        <f t="shared" si="3"/>
        <v>24</v>
      </c>
      <c r="AG43" s="26"/>
      <c r="AH43" s="159">
        <v>0</v>
      </c>
      <c r="AI43" s="140">
        <v>0</v>
      </c>
      <c r="AJ43" s="140">
        <v>0</v>
      </c>
      <c r="AK43" s="140">
        <v>0</v>
      </c>
      <c r="AL43" s="140">
        <v>0</v>
      </c>
      <c r="AM43" s="246">
        <f t="shared" si="4"/>
        <v>25</v>
      </c>
      <c r="AN43" s="159">
        <v>0</v>
      </c>
      <c r="AO43" s="140">
        <v>0</v>
      </c>
      <c r="AP43" s="140">
        <v>0</v>
      </c>
      <c r="AQ43" s="140">
        <v>0</v>
      </c>
      <c r="AR43" s="140">
        <v>0</v>
      </c>
      <c r="AS43" s="246">
        <f t="shared" si="5"/>
        <v>25</v>
      </c>
      <c r="AT43" s="37"/>
      <c r="AU43" s="38"/>
    </row>
    <row r="44" spans="1:47" ht="16.5" customHeight="1">
      <c r="A44" s="65">
        <v>375</v>
      </c>
      <c r="B44" s="68" t="s">
        <v>58</v>
      </c>
      <c r="C44" s="33" t="s">
        <v>59</v>
      </c>
      <c r="D44" s="41"/>
      <c r="E44" s="145">
        <v>0</v>
      </c>
      <c r="F44" s="158">
        <v>0</v>
      </c>
      <c r="G44" s="158">
        <v>0</v>
      </c>
      <c r="H44" s="158">
        <v>0</v>
      </c>
      <c r="I44" s="158">
        <v>0</v>
      </c>
      <c r="J44" s="246">
        <f t="shared" si="0"/>
        <v>24</v>
      </c>
      <c r="K44" s="26"/>
      <c r="L44" s="159">
        <v>0</v>
      </c>
      <c r="M44" s="140">
        <v>0</v>
      </c>
      <c r="N44" s="140">
        <v>0</v>
      </c>
      <c r="O44" s="140">
        <v>0</v>
      </c>
      <c r="P44" s="140">
        <v>0</v>
      </c>
      <c r="Q44" s="246">
        <f t="shared" si="1"/>
        <v>24</v>
      </c>
      <c r="R44" s="159">
        <v>0</v>
      </c>
      <c r="S44" s="140">
        <v>0</v>
      </c>
      <c r="T44" s="140">
        <v>0</v>
      </c>
      <c r="U44" s="140">
        <v>0</v>
      </c>
      <c r="V44" s="140">
        <v>0</v>
      </c>
      <c r="W44" s="246">
        <f t="shared" si="2"/>
        <v>24</v>
      </c>
      <c r="X44" s="37"/>
      <c r="Y44" s="38"/>
      <c r="AA44" s="145">
        <v>0</v>
      </c>
      <c r="AB44" s="158">
        <v>0</v>
      </c>
      <c r="AC44" s="158">
        <v>0</v>
      </c>
      <c r="AD44" s="158">
        <v>0</v>
      </c>
      <c r="AE44" s="158">
        <v>0</v>
      </c>
      <c r="AF44" s="246">
        <f t="shared" si="3"/>
        <v>24</v>
      </c>
      <c r="AG44" s="26"/>
      <c r="AH44" s="159">
        <v>0</v>
      </c>
      <c r="AI44" s="140">
        <v>0</v>
      </c>
      <c r="AJ44" s="140">
        <v>0</v>
      </c>
      <c r="AK44" s="140">
        <v>0</v>
      </c>
      <c r="AL44" s="140">
        <v>0</v>
      </c>
      <c r="AM44" s="246">
        <f t="shared" si="4"/>
        <v>25</v>
      </c>
      <c r="AN44" s="159">
        <v>0</v>
      </c>
      <c r="AO44" s="140">
        <v>0</v>
      </c>
      <c r="AP44" s="140">
        <v>0</v>
      </c>
      <c r="AQ44" s="140">
        <v>0</v>
      </c>
      <c r="AR44" s="140">
        <v>0</v>
      </c>
      <c r="AS44" s="246">
        <f t="shared" si="5"/>
        <v>25</v>
      </c>
      <c r="AT44" s="37"/>
      <c r="AU44" s="38"/>
    </row>
    <row r="45" spans="1:47" ht="16.5" customHeight="1">
      <c r="A45" s="65">
        <v>376</v>
      </c>
      <c r="B45" s="68" t="s">
        <v>105</v>
      </c>
      <c r="C45" s="33" t="s">
        <v>207</v>
      </c>
      <c r="D45" s="42"/>
      <c r="E45" s="145">
        <v>269397297</v>
      </c>
      <c r="F45" s="158">
        <v>2079040</v>
      </c>
      <c r="G45" s="158">
        <v>267318257</v>
      </c>
      <c r="H45" s="158">
        <v>333</v>
      </c>
      <c r="I45" s="137">
        <v>66896</v>
      </c>
      <c r="J45" s="247">
        <f t="shared" si="0"/>
        <v>1</v>
      </c>
      <c r="K45" s="26"/>
      <c r="L45" s="159">
        <v>269397297</v>
      </c>
      <c r="M45" s="140">
        <v>2079040</v>
      </c>
      <c r="N45" s="140">
        <v>267318257</v>
      </c>
      <c r="O45" s="140">
        <v>333</v>
      </c>
      <c r="P45" s="140">
        <v>66896</v>
      </c>
      <c r="Q45" s="247">
        <f t="shared" si="1"/>
        <v>1</v>
      </c>
      <c r="R45" s="159">
        <v>261921741.5</v>
      </c>
      <c r="S45" s="140">
        <v>2188741</v>
      </c>
      <c r="T45" s="140">
        <v>259733000.5</v>
      </c>
      <c r="U45" s="140">
        <v>297.67</v>
      </c>
      <c r="V45" s="140">
        <v>72713</v>
      </c>
      <c r="W45" s="247">
        <f t="shared" si="2"/>
        <v>1</v>
      </c>
      <c r="X45" s="37"/>
      <c r="Y45" s="38"/>
      <c r="AA45" s="145">
        <v>282763210</v>
      </c>
      <c r="AB45" s="158">
        <v>2079040</v>
      </c>
      <c r="AC45" s="158">
        <v>280684170</v>
      </c>
      <c r="AD45" s="158">
        <v>333</v>
      </c>
      <c r="AE45" s="137">
        <v>70241</v>
      </c>
      <c r="AF45" s="247">
        <f t="shared" si="3"/>
        <v>1</v>
      </c>
      <c r="AG45" s="26"/>
      <c r="AH45" s="159">
        <v>287155210</v>
      </c>
      <c r="AI45" s="140">
        <v>2079040</v>
      </c>
      <c r="AJ45" s="140">
        <v>285076170</v>
      </c>
      <c r="AK45" s="140">
        <v>333</v>
      </c>
      <c r="AL45" s="140">
        <v>71340</v>
      </c>
      <c r="AM45" s="247">
        <f t="shared" si="4"/>
        <v>1</v>
      </c>
      <c r="AN45" s="159">
        <v>277436787</v>
      </c>
      <c r="AO45" s="140">
        <v>1882911</v>
      </c>
      <c r="AP45" s="140">
        <v>275553876</v>
      </c>
      <c r="AQ45" s="140">
        <v>296.26</v>
      </c>
      <c r="AR45" s="140">
        <v>77509</v>
      </c>
      <c r="AS45" s="247">
        <f t="shared" si="5"/>
        <v>1</v>
      </c>
      <c r="AT45" s="37"/>
      <c r="AU45" s="38"/>
    </row>
    <row r="46" spans="1:47" ht="16.5" customHeight="1">
      <c r="A46" s="66">
        <v>377</v>
      </c>
      <c r="B46" s="69" t="s">
        <v>163</v>
      </c>
      <c r="C46" s="33" t="s">
        <v>104</v>
      </c>
      <c r="D46" s="42"/>
      <c r="E46" s="145">
        <v>94505349</v>
      </c>
      <c r="F46" s="158">
        <v>6573835</v>
      </c>
      <c r="G46" s="158">
        <v>87931514</v>
      </c>
      <c r="H46" s="158">
        <v>147.80000000000001</v>
      </c>
      <c r="I46" s="158">
        <v>49578</v>
      </c>
      <c r="J46" s="246">
        <f t="shared" si="0"/>
        <v>10</v>
      </c>
      <c r="K46" s="26"/>
      <c r="L46" s="159">
        <v>95770494</v>
      </c>
      <c r="M46" s="140">
        <v>7608980</v>
      </c>
      <c r="N46" s="140">
        <v>88161514</v>
      </c>
      <c r="O46" s="140">
        <v>148.18</v>
      </c>
      <c r="P46" s="140">
        <v>49580</v>
      </c>
      <c r="Q46" s="246">
        <f t="shared" si="1"/>
        <v>10</v>
      </c>
      <c r="R46" s="159">
        <v>97273820.010000005</v>
      </c>
      <c r="S46" s="140">
        <v>6438206</v>
      </c>
      <c r="T46" s="140">
        <v>90835614.010000005</v>
      </c>
      <c r="U46" s="140">
        <v>146.13</v>
      </c>
      <c r="V46" s="140">
        <v>51801</v>
      </c>
      <c r="W46" s="246">
        <f t="shared" si="2"/>
        <v>11</v>
      </c>
      <c r="X46" s="37"/>
      <c r="Y46" s="38"/>
      <c r="AA46" s="145">
        <v>98095468</v>
      </c>
      <c r="AB46" s="158">
        <v>9523835</v>
      </c>
      <c r="AC46" s="158">
        <v>88571633</v>
      </c>
      <c r="AD46" s="158">
        <v>142.27000000000001</v>
      </c>
      <c r="AE46" s="158">
        <v>51880</v>
      </c>
      <c r="AF46" s="246">
        <f t="shared" si="3"/>
        <v>10</v>
      </c>
      <c r="AG46" s="26"/>
      <c r="AH46" s="159">
        <v>102280425</v>
      </c>
      <c r="AI46" s="140">
        <v>9803835</v>
      </c>
      <c r="AJ46" s="140">
        <v>92476590</v>
      </c>
      <c r="AK46" s="140">
        <v>149.1</v>
      </c>
      <c r="AL46" s="140">
        <v>51686</v>
      </c>
      <c r="AM46" s="246">
        <f t="shared" si="4"/>
        <v>10</v>
      </c>
      <c r="AN46" s="159">
        <v>103230528</v>
      </c>
      <c r="AO46" s="140">
        <v>8010310</v>
      </c>
      <c r="AP46" s="140">
        <v>95220218</v>
      </c>
      <c r="AQ46" s="140">
        <v>144.26</v>
      </c>
      <c r="AR46" s="140">
        <v>55005</v>
      </c>
      <c r="AS46" s="246">
        <f t="shared" si="5"/>
        <v>10</v>
      </c>
      <c r="AT46" s="37"/>
      <c r="AU46" s="38"/>
    </row>
    <row r="47" spans="1:47" ht="16.5" customHeight="1">
      <c r="A47" s="138">
        <v>378</v>
      </c>
      <c r="B47" s="139" t="s">
        <v>189</v>
      </c>
      <c r="C47" s="33" t="s">
        <v>208</v>
      </c>
      <c r="D47" s="42"/>
      <c r="E47" s="75">
        <v>0</v>
      </c>
      <c r="F47" s="76">
        <v>0</v>
      </c>
      <c r="G47" s="76">
        <v>0</v>
      </c>
      <c r="H47" s="76">
        <v>0</v>
      </c>
      <c r="I47" s="76">
        <v>0</v>
      </c>
      <c r="J47" s="77">
        <f t="shared" si="0"/>
        <v>24</v>
      </c>
      <c r="K47" s="26"/>
      <c r="L47" s="24">
        <v>0</v>
      </c>
      <c r="M47" s="14">
        <v>0</v>
      </c>
      <c r="N47" s="14">
        <v>0</v>
      </c>
      <c r="O47" s="14">
        <v>0</v>
      </c>
      <c r="P47" s="14">
        <v>0</v>
      </c>
      <c r="Q47" s="77">
        <f t="shared" si="1"/>
        <v>24</v>
      </c>
      <c r="R47" s="24">
        <v>0</v>
      </c>
      <c r="S47" s="14">
        <v>0</v>
      </c>
      <c r="T47" s="14">
        <v>0</v>
      </c>
      <c r="U47" s="14">
        <v>0</v>
      </c>
      <c r="V47" s="14">
        <v>0</v>
      </c>
      <c r="W47" s="77">
        <f t="shared" si="2"/>
        <v>24</v>
      </c>
      <c r="X47" s="37"/>
      <c r="Y47" s="38"/>
      <c r="AA47" s="75">
        <v>0</v>
      </c>
      <c r="AB47" s="76">
        <v>0</v>
      </c>
      <c r="AC47" s="76">
        <v>0</v>
      </c>
      <c r="AD47" s="76">
        <v>0</v>
      </c>
      <c r="AE47" s="76">
        <v>0</v>
      </c>
      <c r="AF47" s="77">
        <f t="shared" si="3"/>
        <v>24</v>
      </c>
      <c r="AG47" s="26"/>
      <c r="AH47" s="24">
        <v>0</v>
      </c>
      <c r="AI47" s="14">
        <v>0</v>
      </c>
      <c r="AJ47" s="14">
        <v>0</v>
      </c>
      <c r="AK47" s="14">
        <v>0</v>
      </c>
      <c r="AL47" s="14">
        <v>0</v>
      </c>
      <c r="AM47" s="77">
        <f t="shared" si="4"/>
        <v>25</v>
      </c>
      <c r="AN47" s="24">
        <v>0</v>
      </c>
      <c r="AO47" s="14">
        <v>0</v>
      </c>
      <c r="AP47" s="14">
        <v>0</v>
      </c>
      <c r="AQ47" s="14">
        <v>0</v>
      </c>
      <c r="AR47" s="14">
        <v>0</v>
      </c>
      <c r="AS47" s="77">
        <f t="shared" si="5"/>
        <v>25</v>
      </c>
      <c r="AT47" s="37"/>
      <c r="AU47" s="38"/>
    </row>
    <row r="48" spans="1:47" ht="16.5" customHeight="1" thickBot="1">
      <c r="A48" s="67">
        <v>381</v>
      </c>
      <c r="B48" s="70" t="s">
        <v>60</v>
      </c>
      <c r="C48" s="34" t="s">
        <v>61</v>
      </c>
      <c r="D48" s="42"/>
      <c r="E48" s="75">
        <v>366875024</v>
      </c>
      <c r="F48" s="76">
        <v>32988794</v>
      </c>
      <c r="G48" s="76">
        <v>333886230</v>
      </c>
      <c r="H48" s="76">
        <v>485</v>
      </c>
      <c r="I48" s="76">
        <v>57369</v>
      </c>
      <c r="J48" s="77">
        <f t="shared" si="0"/>
        <v>3</v>
      </c>
      <c r="K48" s="26"/>
      <c r="L48" s="47">
        <v>366875024</v>
      </c>
      <c r="M48" s="48">
        <v>32988794</v>
      </c>
      <c r="N48" s="48">
        <v>333886230</v>
      </c>
      <c r="O48" s="48">
        <v>485</v>
      </c>
      <c r="P48" s="48">
        <v>57369</v>
      </c>
      <c r="Q48" s="77">
        <f t="shared" si="1"/>
        <v>3</v>
      </c>
      <c r="R48" s="47">
        <v>352532243</v>
      </c>
      <c r="S48" s="48">
        <v>31009531.710000001</v>
      </c>
      <c r="T48" s="48">
        <v>321522711.29000002</v>
      </c>
      <c r="U48" s="48">
        <v>433.12</v>
      </c>
      <c r="V48" s="48">
        <v>61862</v>
      </c>
      <c r="W48" s="77">
        <f t="shared" si="2"/>
        <v>3</v>
      </c>
      <c r="X48" s="37"/>
      <c r="Y48" s="38"/>
      <c r="AA48" s="75">
        <v>387824536</v>
      </c>
      <c r="AB48" s="76">
        <v>37243994</v>
      </c>
      <c r="AC48" s="76">
        <v>350580542</v>
      </c>
      <c r="AD48" s="76">
        <v>475</v>
      </c>
      <c r="AE48" s="76">
        <v>61505</v>
      </c>
      <c r="AF48" s="77">
        <f t="shared" si="3"/>
        <v>2</v>
      </c>
      <c r="AG48" s="26"/>
      <c r="AH48" s="47">
        <v>387824536</v>
      </c>
      <c r="AI48" s="48">
        <v>37243994</v>
      </c>
      <c r="AJ48" s="48">
        <v>350580542</v>
      </c>
      <c r="AK48" s="48">
        <v>475</v>
      </c>
      <c r="AL48" s="48">
        <v>61505</v>
      </c>
      <c r="AM48" s="77">
        <f t="shared" si="4"/>
        <v>2</v>
      </c>
      <c r="AN48" s="47">
        <v>384145688</v>
      </c>
      <c r="AO48" s="48">
        <v>33481326</v>
      </c>
      <c r="AP48" s="48">
        <v>350664362</v>
      </c>
      <c r="AQ48" s="48">
        <v>436.13</v>
      </c>
      <c r="AR48" s="48">
        <v>67003</v>
      </c>
      <c r="AS48" s="77">
        <f t="shared" si="5"/>
        <v>2</v>
      </c>
      <c r="AT48" s="37"/>
      <c r="AU48" s="38"/>
    </row>
    <row r="49" spans="1:47" ht="15" thickBot="1">
      <c r="A49" s="395" t="s">
        <v>161</v>
      </c>
      <c r="B49" s="396"/>
      <c r="C49" s="46"/>
      <c r="D49" s="43"/>
      <c r="E49" s="179"/>
      <c r="F49" s="176"/>
      <c r="G49" s="176"/>
      <c r="H49" s="176"/>
      <c r="I49" s="50"/>
      <c r="J49" s="51"/>
      <c r="K49" s="26"/>
      <c r="L49" s="49"/>
      <c r="M49" s="50"/>
      <c r="N49" s="50"/>
      <c r="O49" s="50"/>
      <c r="P49" s="50"/>
      <c r="Q49" s="51"/>
      <c r="R49" s="49"/>
      <c r="S49" s="50"/>
      <c r="T49" s="50"/>
      <c r="U49" s="50"/>
      <c r="V49" s="50"/>
      <c r="W49" s="51"/>
      <c r="X49" s="37"/>
      <c r="Y49" s="38"/>
      <c r="AA49" s="179"/>
      <c r="AB49" s="176"/>
      <c r="AC49" s="176"/>
      <c r="AD49" s="176"/>
      <c r="AE49" s="50"/>
      <c r="AF49" s="51"/>
      <c r="AG49" s="26"/>
      <c r="AH49" s="49"/>
      <c r="AI49" s="50"/>
      <c r="AJ49" s="50"/>
      <c r="AK49" s="50"/>
      <c r="AL49" s="50"/>
      <c r="AM49" s="51"/>
      <c r="AN49" s="49"/>
      <c r="AO49" s="50"/>
      <c r="AP49" s="50"/>
      <c r="AQ49" s="50"/>
      <c r="AR49" s="50"/>
      <c r="AS49" s="51"/>
      <c r="AT49" s="37"/>
      <c r="AU49" s="38"/>
    </row>
    <row r="50" spans="1:47" ht="14">
      <c r="A50" s="397"/>
      <c r="B50" s="398"/>
      <c r="C50" s="35" t="s">
        <v>62</v>
      </c>
      <c r="D50" s="43"/>
      <c r="E50" s="20">
        <f>SUM(E5:E48)</f>
        <v>24528100859</v>
      </c>
      <c r="F50" s="10">
        <f t="shared" ref="F50:H50" si="6">SUM(F5:F48)</f>
        <v>2135667567</v>
      </c>
      <c r="G50" s="10">
        <f t="shared" si="6"/>
        <v>22392433292</v>
      </c>
      <c r="H50" s="10">
        <f t="shared" si="6"/>
        <v>42649.440000000002</v>
      </c>
      <c r="I50" s="10">
        <f>IF(H50=0,0,ROUND(G50/H50/12,0))</f>
        <v>43753</v>
      </c>
      <c r="J50" s="11" t="s">
        <v>63</v>
      </c>
      <c r="K50" s="52"/>
      <c r="L50" s="20">
        <f>SUM(L5:L48)</f>
        <v>25149457574</v>
      </c>
      <c r="M50" s="10">
        <f t="shared" ref="M50:O50" si="7">SUM(M5:M48)</f>
        <v>2274922691</v>
      </c>
      <c r="N50" s="10">
        <f t="shared" si="7"/>
        <v>22874534883</v>
      </c>
      <c r="O50" s="10">
        <f t="shared" si="7"/>
        <v>42777.340000000004</v>
      </c>
      <c r="P50" s="10">
        <f>IF(O50=0,0,ROUND(N50/O50/12,0))</f>
        <v>44561</v>
      </c>
      <c r="Q50" s="11" t="s">
        <v>63</v>
      </c>
      <c r="R50" s="20">
        <f>SUM(R5:R48)</f>
        <v>24373305936.629997</v>
      </c>
      <c r="S50" s="10">
        <f t="shared" ref="S50:U50" si="8">SUM(S5:S48)</f>
        <v>2183582756.75</v>
      </c>
      <c r="T50" s="10">
        <f t="shared" si="8"/>
        <v>22189723179.879997</v>
      </c>
      <c r="U50" s="10">
        <f t="shared" si="8"/>
        <v>40361.349999999984</v>
      </c>
      <c r="V50" s="10">
        <f>IF(U50=0,0,ROUND(T50/U50/12,0))</f>
        <v>45815</v>
      </c>
      <c r="W50" s="11" t="s">
        <v>63</v>
      </c>
      <c r="X50" s="53"/>
      <c r="Y50" s="52"/>
      <c r="AA50" s="20">
        <f>SUM(AA6:AA48)</f>
        <v>26814923228</v>
      </c>
      <c r="AB50" s="10">
        <f>SUM(AB6:AB48)</f>
        <v>2259877773</v>
      </c>
      <c r="AC50" s="10">
        <f>SUM(AC6:AC48)</f>
        <v>24555045455</v>
      </c>
      <c r="AD50" s="10">
        <f>SUM(AD6:AD48)</f>
        <v>43813.06</v>
      </c>
      <c r="AE50" s="10">
        <f t="shared" ref="AE50" si="9">IF(AD50=0,0,ROUND(AC50/AD50/12,0))</f>
        <v>46704</v>
      </c>
      <c r="AF50" s="11" t="s">
        <v>63</v>
      </c>
      <c r="AG50" s="52"/>
      <c r="AH50" s="20">
        <f>SUM(AH6:AH48)</f>
        <v>26437387831</v>
      </c>
      <c r="AI50" s="10">
        <f>SUM(AI6:AI48)</f>
        <v>2289489677</v>
      </c>
      <c r="AJ50" s="10">
        <f>SUM(AJ6:AJ48)</f>
        <v>24147898154</v>
      </c>
      <c r="AK50" s="10">
        <f>SUM(AK6:AK48)</f>
        <v>44017.9</v>
      </c>
      <c r="AL50" s="10">
        <f t="shared" ref="AL50" si="10">IF(AK50=0,0,ROUND(AJ50/AK50/12,0))</f>
        <v>45716</v>
      </c>
      <c r="AM50" s="11" t="s">
        <v>63</v>
      </c>
      <c r="AN50" s="20">
        <f>SUM(AN6:AN48)</f>
        <v>26506009886.749996</v>
      </c>
      <c r="AO50" s="10">
        <f>SUM(AO6:AO48)</f>
        <v>2237781929.3900003</v>
      </c>
      <c r="AP50" s="10">
        <f>SUM(AP6:AP48)</f>
        <v>24268227957.359997</v>
      </c>
      <c r="AQ50" s="10">
        <f>SUM(AQ6:AQ48)</f>
        <v>41060.250000000007</v>
      </c>
      <c r="AR50" s="10">
        <f t="shared" ref="AR50" si="11">IF(AQ50=0,0,ROUND(AP50/AQ50/12,0))</f>
        <v>49253</v>
      </c>
      <c r="AS50" s="11" t="s">
        <v>63</v>
      </c>
      <c r="AT50" s="53"/>
      <c r="AU50" s="52"/>
    </row>
    <row r="51" spans="1:47" ht="21" customHeight="1" thickBot="1">
      <c r="A51" s="399"/>
      <c r="B51" s="400"/>
      <c r="C51" s="36"/>
      <c r="D51" s="44"/>
      <c r="E51" s="183"/>
      <c r="F51" s="182"/>
      <c r="G51" s="182"/>
      <c r="H51" s="182"/>
      <c r="I51" s="22"/>
      <c r="J51" s="23"/>
      <c r="K51" s="25"/>
      <c r="L51" s="21"/>
      <c r="M51" s="22"/>
      <c r="N51" s="22"/>
      <c r="O51" s="22"/>
      <c r="P51" s="22"/>
      <c r="Q51" s="23"/>
      <c r="R51" s="21"/>
      <c r="S51" s="22"/>
      <c r="T51" s="22"/>
      <c r="U51" s="22"/>
      <c r="V51" s="22"/>
      <c r="W51" s="23"/>
      <c r="X51" s="40"/>
      <c r="Y51" s="25"/>
      <c r="AA51" s="183"/>
      <c r="AB51" s="182"/>
      <c r="AC51" s="182"/>
      <c r="AD51" s="182"/>
      <c r="AE51" s="22"/>
      <c r="AF51" s="23"/>
      <c r="AG51" s="25"/>
      <c r="AH51" s="21"/>
      <c r="AI51" s="22"/>
      <c r="AJ51" s="22"/>
      <c r="AK51" s="22"/>
      <c r="AL51" s="22"/>
      <c r="AM51" s="23"/>
      <c r="AN51" s="21"/>
      <c r="AO51" s="22"/>
      <c r="AP51" s="22"/>
      <c r="AQ51" s="22"/>
      <c r="AR51" s="22"/>
      <c r="AS51" s="23"/>
      <c r="AT51" s="40"/>
      <c r="AU51" s="25"/>
    </row>
    <row r="52" spans="1:47" ht="14" thickBot="1">
      <c r="K52" s="23"/>
      <c r="X52" s="21"/>
      <c r="Y52" s="23"/>
      <c r="AG52" s="23"/>
      <c r="AT52" s="21"/>
      <c r="AU52" s="23"/>
    </row>
    <row r="53" spans="1:47">
      <c r="A53" s="9"/>
      <c r="B53" s="9"/>
      <c r="C53" s="16"/>
      <c r="D53" s="16"/>
      <c r="E53" s="17" t="b">
        <f>ROUND(E50,0)=ROUND(SUMAR!E11,0)</f>
        <v>1</v>
      </c>
      <c r="F53" s="17" t="b">
        <f>F50=SUMAR!F11</f>
        <v>1</v>
      </c>
      <c r="G53" s="17" t="b">
        <f>G50=SUMAR!G11</f>
        <v>1</v>
      </c>
      <c r="H53" s="17" t="b">
        <f>H50=SUMAR!H11</f>
        <v>1</v>
      </c>
      <c r="I53" s="17" t="b">
        <f>ROUND(I50,0)=ROUND(SUMAR!I11,0)</f>
        <v>1</v>
      </c>
      <c r="J53" s="9"/>
      <c r="L53" s="17" t="b">
        <f>ROUND(L50,0)=ROUND(SUMAR!L11,0)</f>
        <v>1</v>
      </c>
      <c r="M53" s="17" t="b">
        <f>M50=SUMAR!M11</f>
        <v>1</v>
      </c>
      <c r="N53" s="17" t="b">
        <f>N50=SUMAR!N11</f>
        <v>1</v>
      </c>
      <c r="O53" s="17" t="b">
        <f>O50=SUMAR!O11</f>
        <v>1</v>
      </c>
      <c r="P53" s="17" t="b">
        <f>ROUND(P50,0)=ROUND(SUMAR!P11,0)</f>
        <v>1</v>
      </c>
      <c r="Q53" s="9"/>
      <c r="R53" s="17" t="b">
        <f>ROUND(R50,0)=ROUND(SUMAR!R11,0)</f>
        <v>1</v>
      </c>
      <c r="S53" s="17" t="b">
        <f>S50=SUMAR!S11</f>
        <v>1</v>
      </c>
      <c r="T53" s="17" t="b">
        <f>T50=SUMAR!T11</f>
        <v>1</v>
      </c>
      <c r="U53" s="17" t="b">
        <f>U50=SUMAR!U11</f>
        <v>1</v>
      </c>
      <c r="V53" s="17" t="b">
        <f>ROUND(V50,0)=ROUND(SUMAR!V11,0)</f>
        <v>1</v>
      </c>
      <c r="W53" s="9"/>
      <c r="AA53" s="17" t="b">
        <f>ROUND(AA50,0)=ROUND(SUMAR!AA11,0)</f>
        <v>1</v>
      </c>
      <c r="AB53" s="17" t="b">
        <f>AB50=SUMAR!AB11</f>
        <v>1</v>
      </c>
      <c r="AC53" s="17" t="b">
        <f>AC50=SUMAR!AC11</f>
        <v>1</v>
      </c>
      <c r="AD53" s="17" t="b">
        <f>AD50=SUMAR!AD11</f>
        <v>1</v>
      </c>
      <c r="AE53" s="17" t="b">
        <f>ROUND(AE50,0)=ROUND(SUMAR!AE11,0)</f>
        <v>1</v>
      </c>
      <c r="AF53" s="9"/>
      <c r="AH53" s="17" t="b">
        <f>ROUND(AH50,0)=ROUND(SUMAR!AH11,0)</f>
        <v>1</v>
      </c>
      <c r="AI53" s="17" t="b">
        <f>AI50=SUMAR!AI11</f>
        <v>1</v>
      </c>
      <c r="AJ53" s="17" t="b">
        <f>AJ50=SUMAR!AJ11</f>
        <v>1</v>
      </c>
      <c r="AK53" s="17" t="b">
        <f>AK50=SUMAR!AK11</f>
        <v>1</v>
      </c>
      <c r="AL53" s="17" t="b">
        <f>ROUND(AL50,0)=ROUND(SUMAR!AL11,0)</f>
        <v>1</v>
      </c>
      <c r="AM53" s="9"/>
      <c r="AN53" s="17" t="b">
        <f>ROUND(AN50,0)=ROUND(SUMAR!AN11,0)</f>
        <v>1</v>
      </c>
      <c r="AO53" s="17" t="b">
        <f>AO50=SUMAR!AO11</f>
        <v>1</v>
      </c>
      <c r="AP53" s="17" t="b">
        <f>AP50=SUMAR!AP11</f>
        <v>1</v>
      </c>
      <c r="AQ53" s="17" t="b">
        <f>AQ50=SUMAR!AQ11</f>
        <v>1</v>
      </c>
      <c r="AR53" s="17" t="b">
        <f>ROUND(AR50,0)=ROUND(SUMAR!AR11,0)</f>
        <v>1</v>
      </c>
      <c r="AS53" s="9"/>
    </row>
    <row r="54" spans="1:47">
      <c r="E54" s="7"/>
      <c r="F54" s="173"/>
      <c r="G54" s="173"/>
      <c r="H54" s="173"/>
      <c r="I54" s="7"/>
      <c r="K54" s="9"/>
      <c r="X54" s="9"/>
      <c r="Y54" s="9"/>
      <c r="AG54" s="9"/>
      <c r="AT54" s="9"/>
      <c r="AU54" s="9"/>
    </row>
    <row r="55" spans="1:47">
      <c r="E55" s="9"/>
      <c r="F55" s="173"/>
      <c r="I55" s="9"/>
      <c r="J55" s="9"/>
      <c r="L55" s="60"/>
      <c r="M55" s="60"/>
      <c r="N55" s="60"/>
      <c r="O55" s="60"/>
      <c r="P55" s="60"/>
      <c r="Q55" s="9"/>
      <c r="R55" s="9"/>
      <c r="S55" s="9"/>
      <c r="T55" s="9"/>
      <c r="U55" s="9"/>
      <c r="V55" s="9"/>
      <c r="W55" s="9"/>
    </row>
    <row r="56" spans="1:47">
      <c r="E56" s="7"/>
      <c r="F56" s="173"/>
      <c r="H56" s="173"/>
      <c r="I56" s="7"/>
      <c r="K56" s="9"/>
      <c r="X56" s="9"/>
      <c r="Y56" s="9"/>
      <c r="AG56" s="9"/>
      <c r="AT56" s="9"/>
      <c r="AU56" s="9"/>
    </row>
    <row r="57" spans="1:47">
      <c r="E57" s="9"/>
      <c r="F57" s="173"/>
      <c r="I57" s="9"/>
      <c r="J57" s="9"/>
      <c r="L57" s="60"/>
      <c r="M57" s="60"/>
      <c r="N57" s="60"/>
      <c r="O57" s="60"/>
      <c r="P57" s="60"/>
      <c r="Q57" s="9"/>
      <c r="R57" s="9"/>
      <c r="S57" s="9"/>
      <c r="T57" s="9"/>
      <c r="U57" s="9"/>
      <c r="V57" s="9"/>
      <c r="W57" s="9"/>
    </row>
    <row r="58" spans="1:47">
      <c r="E58" s="7"/>
      <c r="F58" s="173"/>
      <c r="H58" s="173"/>
      <c r="I58" s="7"/>
      <c r="K58" s="9"/>
      <c r="X58" s="9"/>
      <c r="Y58" s="9"/>
      <c r="AG58" s="9"/>
      <c r="AT58" s="9"/>
      <c r="AU58" s="9"/>
    </row>
    <row r="59" spans="1:47">
      <c r="F59" s="173"/>
    </row>
    <row r="60" spans="1:47">
      <c r="F60" s="173"/>
    </row>
    <row r="61" spans="1:47">
      <c r="F61" s="173"/>
    </row>
    <row r="62" spans="1:47">
      <c r="F62" s="173"/>
    </row>
    <row r="63" spans="1:47">
      <c r="F63" s="173"/>
    </row>
    <row r="64" spans="1:47">
      <c r="F64" s="173"/>
    </row>
    <row r="65" spans="6:6">
      <c r="F65" s="173"/>
    </row>
    <row r="66" spans="6:6">
      <c r="F66" s="173"/>
    </row>
    <row r="67" spans="6:6">
      <c r="F67" s="173"/>
    </row>
    <row r="68" spans="6:6">
      <c r="F68" s="173"/>
    </row>
    <row r="69" spans="6:6">
      <c r="F69" s="173"/>
    </row>
    <row r="70" spans="6:6">
      <c r="F70" s="173"/>
    </row>
    <row r="71" spans="6:6">
      <c r="F71" s="173"/>
    </row>
    <row r="72" spans="6:6">
      <c r="F72" s="173"/>
    </row>
    <row r="73" spans="6:6">
      <c r="F73" s="173"/>
    </row>
    <row r="74" spans="6:6">
      <c r="F74" s="173"/>
    </row>
    <row r="75" spans="6:6">
      <c r="F75" s="173"/>
    </row>
    <row r="76" spans="6:6">
      <c r="F76" s="173"/>
    </row>
    <row r="77" spans="6:6">
      <c r="F77" s="173"/>
    </row>
    <row r="78" spans="6:6">
      <c r="F78" s="173"/>
    </row>
    <row r="79" spans="6:6">
      <c r="F79" s="173"/>
    </row>
    <row r="80" spans="6:6">
      <c r="F80" s="173"/>
    </row>
    <row r="81" spans="6:6">
      <c r="F81" s="173"/>
    </row>
    <row r="82" spans="6:6">
      <c r="F82" s="173"/>
    </row>
    <row r="83" spans="6:6">
      <c r="F83" s="173"/>
    </row>
    <row r="84" spans="6:6">
      <c r="F84" s="173"/>
    </row>
    <row r="85" spans="6:6">
      <c r="F85" s="173"/>
    </row>
    <row r="86" spans="6:6">
      <c r="F86" s="173"/>
    </row>
    <row r="87" spans="6:6">
      <c r="F87" s="173"/>
    </row>
    <row r="88" spans="6:6">
      <c r="F88" s="173"/>
    </row>
    <row r="89" spans="6:6">
      <c r="F89" s="173"/>
    </row>
    <row r="90" spans="6:6">
      <c r="F90" s="173"/>
    </row>
    <row r="91" spans="6:6">
      <c r="F91" s="173"/>
    </row>
    <row r="92" spans="6:6">
      <c r="F92" s="173"/>
    </row>
    <row r="93" spans="6:6">
      <c r="F93" s="173"/>
    </row>
    <row r="94" spans="6:6">
      <c r="F94" s="173"/>
    </row>
    <row r="95" spans="6:6">
      <c r="F95" s="173"/>
    </row>
    <row r="96" spans="6:6">
      <c r="F96" s="173"/>
    </row>
    <row r="97" spans="6:6">
      <c r="F97" s="173"/>
    </row>
    <row r="136" spans="1:45">
      <c r="A136" s="165"/>
      <c r="B136" s="165"/>
      <c r="C136" s="169"/>
      <c r="D136" s="169"/>
      <c r="E136" s="165"/>
      <c r="F136" s="174"/>
      <c r="G136" s="174"/>
      <c r="H136" s="174"/>
      <c r="I136" s="165"/>
      <c r="J136" s="165"/>
      <c r="L136" s="165"/>
      <c r="M136" s="165"/>
      <c r="N136" s="165"/>
      <c r="O136" s="165"/>
      <c r="P136" s="165"/>
      <c r="Q136" s="165"/>
      <c r="R136" s="165"/>
      <c r="S136" s="165"/>
      <c r="T136" s="165"/>
      <c r="U136" s="165"/>
      <c r="V136" s="165"/>
      <c r="W136" s="165"/>
      <c r="AA136" s="165"/>
      <c r="AB136" s="165"/>
      <c r="AC136" s="165"/>
      <c r="AD136" s="165"/>
      <c r="AE136" s="165"/>
      <c r="AF136" s="165"/>
      <c r="AH136" s="165"/>
      <c r="AI136" s="165"/>
      <c r="AJ136" s="165"/>
      <c r="AK136" s="165"/>
      <c r="AL136" s="165"/>
      <c r="AM136" s="165"/>
      <c r="AN136" s="165"/>
      <c r="AO136" s="165"/>
      <c r="AP136" s="165"/>
      <c r="AQ136" s="165"/>
      <c r="AR136" s="165"/>
      <c r="AS136" s="165"/>
    </row>
    <row r="137" spans="1:45">
      <c r="A137" s="163"/>
      <c r="B137" s="163"/>
      <c r="C137" s="168"/>
      <c r="D137" s="168"/>
      <c r="E137" s="163"/>
      <c r="F137" s="175"/>
      <c r="G137" s="175"/>
      <c r="H137" s="175"/>
      <c r="I137" s="163"/>
      <c r="J137" s="163"/>
      <c r="L137" s="163"/>
      <c r="M137" s="163"/>
      <c r="N137" s="163"/>
      <c r="O137" s="163"/>
      <c r="P137" s="163"/>
      <c r="Q137" s="163"/>
      <c r="R137" s="163"/>
      <c r="S137" s="163"/>
      <c r="T137" s="163"/>
      <c r="U137" s="163"/>
      <c r="V137" s="163"/>
      <c r="W137" s="163"/>
      <c r="AA137" s="163"/>
      <c r="AB137" s="163"/>
      <c r="AC137" s="163"/>
      <c r="AD137" s="163"/>
      <c r="AE137" s="163"/>
      <c r="AF137" s="163"/>
      <c r="AH137" s="163"/>
      <c r="AI137" s="163"/>
      <c r="AJ137" s="163"/>
      <c r="AK137" s="163"/>
      <c r="AL137" s="163"/>
      <c r="AM137" s="163"/>
      <c r="AN137" s="163"/>
      <c r="AO137" s="163"/>
      <c r="AP137" s="163"/>
      <c r="AQ137" s="163"/>
      <c r="AR137" s="163"/>
      <c r="AS137" s="163"/>
    </row>
    <row r="138" spans="1:45">
      <c r="A138" s="163"/>
      <c r="B138" s="163"/>
      <c r="C138" s="168"/>
      <c r="D138" s="168"/>
      <c r="E138" s="163"/>
      <c r="F138" s="175"/>
      <c r="G138" s="175"/>
      <c r="H138" s="175"/>
      <c r="I138" s="163"/>
      <c r="J138" s="163"/>
      <c r="L138" s="163"/>
      <c r="M138" s="163"/>
      <c r="N138" s="163"/>
      <c r="O138" s="163"/>
      <c r="P138" s="163"/>
      <c r="Q138" s="163"/>
      <c r="R138" s="163"/>
      <c r="S138" s="163"/>
      <c r="T138" s="163"/>
      <c r="U138" s="163"/>
      <c r="V138" s="163"/>
      <c r="W138" s="163"/>
      <c r="AA138" s="163"/>
      <c r="AB138" s="163"/>
      <c r="AC138" s="163"/>
      <c r="AD138" s="163"/>
      <c r="AE138" s="163"/>
      <c r="AF138" s="163"/>
      <c r="AH138" s="163"/>
      <c r="AI138" s="163"/>
      <c r="AJ138" s="163"/>
      <c r="AK138" s="163"/>
      <c r="AL138" s="163"/>
      <c r="AM138" s="163"/>
      <c r="AN138" s="163"/>
      <c r="AO138" s="163"/>
      <c r="AP138" s="163"/>
      <c r="AQ138" s="163"/>
      <c r="AR138" s="163"/>
      <c r="AS138" s="163"/>
    </row>
  </sheetData>
  <mergeCells count="61">
    <mergeCell ref="AT1:AU2"/>
    <mergeCell ref="AT3:AT5"/>
    <mergeCell ref="AU3:AU5"/>
    <mergeCell ref="X1:Y2"/>
    <mergeCell ref="X3:X5"/>
    <mergeCell ref="Y3:Y5"/>
    <mergeCell ref="L3:L5"/>
    <mergeCell ref="M3:N3"/>
    <mergeCell ref="O3:O5"/>
    <mergeCell ref="P3:P5"/>
    <mergeCell ref="A49:B51"/>
    <mergeCell ref="A1:A5"/>
    <mergeCell ref="B1:B5"/>
    <mergeCell ref="K1:K2"/>
    <mergeCell ref="K3:K5"/>
    <mergeCell ref="M4:M5"/>
    <mergeCell ref="N4:N5"/>
    <mergeCell ref="S4:S5"/>
    <mergeCell ref="T4:T5"/>
    <mergeCell ref="R3:R5"/>
    <mergeCell ref="S3:T3"/>
    <mergeCell ref="E3:E5"/>
    <mergeCell ref="F3:G3"/>
    <mergeCell ref="H3:H5"/>
    <mergeCell ref="I3:I5"/>
    <mergeCell ref="J3:J5"/>
    <mergeCell ref="F4:F5"/>
    <mergeCell ref="G4:G5"/>
    <mergeCell ref="AN1:AS2"/>
    <mergeCell ref="AB3:AC3"/>
    <mergeCell ref="AD3:AD5"/>
    <mergeCell ref="AE3:AE5"/>
    <mergeCell ref="AF3:AF5"/>
    <mergeCell ref="AH3:AH5"/>
    <mergeCell ref="AI3:AJ3"/>
    <mergeCell ref="AK3:AK5"/>
    <mergeCell ref="AL3:AL5"/>
    <mergeCell ref="AM3:AM5"/>
    <mergeCell ref="AN3:AN5"/>
    <mergeCell ref="AO3:AP3"/>
    <mergeCell ref="AQ3:AQ5"/>
    <mergeCell ref="AR3:AR5"/>
    <mergeCell ref="AS3:AS5"/>
    <mergeCell ref="AB4:AB5"/>
    <mergeCell ref="E1:J2"/>
    <mergeCell ref="L1:Q2"/>
    <mergeCell ref="R1:W2"/>
    <mergeCell ref="AA1:AF2"/>
    <mergeCell ref="AH1:AM2"/>
    <mergeCell ref="AG1:AG2"/>
    <mergeCell ref="AI4:AI5"/>
    <mergeCell ref="AJ4:AJ5"/>
    <mergeCell ref="AO4:AO5"/>
    <mergeCell ref="AP4:AP5"/>
    <mergeCell ref="Q3:Q5"/>
    <mergeCell ref="AC4:AC5"/>
    <mergeCell ref="U3:U5"/>
    <mergeCell ref="V3:V5"/>
    <mergeCell ref="W3:W5"/>
    <mergeCell ref="AA3:AA5"/>
    <mergeCell ref="AG3:AG5"/>
  </mergeCells>
  <printOptions horizontalCentered="1" verticalCentered="1"/>
  <pageMargins left="0.59055118110236227" right="0.51181102362204722" top="0.39370078740157483" bottom="0.19685039370078741" header="0.39370078740157483" footer="0.19685039370078741"/>
  <pageSetup paperSize="9" scale="55" pageOrder="overThenDown" orientation="landscape"/>
  <headerFooter alignWithMargins="0">
    <oddHeader>&amp;C&amp;"Arial CE,tučné"Přehled o vývoji počtu zaměstnanců a objemech mezd od roku  1 9 9 3
za   R O P O  c e l k e m
&amp;R&amp;A   -   &amp;F</oddHeader>
    <oddFooter>&amp;C6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List5"/>
  <dimension ref="A1:AU59"/>
  <sheetViews>
    <sheetView zoomScale="90" zoomScaleNormal="90" workbookViewId="0">
      <pane xSplit="3" ySplit="5" topLeftCell="T21" activePane="bottomRight" state="frozen"/>
      <selection activeCell="HC12" sqref="HC12"/>
      <selection pane="topRight" activeCell="HC12" sqref="HC12"/>
      <selection pane="bottomLeft" activeCell="HC12" sqref="HC12"/>
      <selection pane="bottomRight" activeCell="X1" sqref="X1:Y1048576"/>
    </sheetView>
  </sheetViews>
  <sheetFormatPr baseColWidth="10" defaultColWidth="11.5" defaultRowHeight="13"/>
  <cols>
    <col min="1" max="1" width="9.33203125" style="6" customWidth="1"/>
    <col min="2" max="2" width="11.6640625" style="6" customWidth="1"/>
    <col min="3" max="3" width="37" style="13" customWidth="1"/>
    <col min="4" max="4" width="3.6640625" style="13" customWidth="1"/>
    <col min="5" max="7" width="16.6640625" style="6" customWidth="1"/>
    <col min="8" max="8" width="12.83203125" style="6" customWidth="1"/>
    <col min="9" max="11" width="11.5" style="6" customWidth="1"/>
    <col min="12" max="12" width="17.1640625" style="6" customWidth="1"/>
    <col min="13" max="13" width="14.5" style="6" customWidth="1"/>
    <col min="14" max="14" width="14.83203125" style="6" customWidth="1"/>
    <col min="15" max="15" width="13.33203125" style="6" customWidth="1"/>
    <col min="16" max="16" width="11.1640625" style="6" customWidth="1"/>
    <col min="17" max="17" width="9.1640625" style="6" customWidth="1"/>
    <col min="18" max="18" width="15.83203125" style="6" customWidth="1"/>
    <col min="19" max="19" width="14.5" style="6" customWidth="1"/>
    <col min="20" max="20" width="16.5" style="6" customWidth="1"/>
    <col min="21" max="21" width="12.6640625" style="6" customWidth="1"/>
    <col min="22" max="22" width="10.83203125" style="6" customWidth="1"/>
    <col min="23" max="23" width="9.1640625" style="6" customWidth="1"/>
    <col min="24" max="25" width="11.5" style="6"/>
    <col min="26" max="26" width="9.1640625" customWidth="1"/>
    <col min="27" max="27" width="16.33203125" style="6" customWidth="1"/>
    <col min="28" max="28" width="14" style="6" customWidth="1"/>
    <col min="29" max="29" width="15" style="6" customWidth="1"/>
    <col min="30" max="33" width="11.5" style="6"/>
    <col min="34" max="34" width="16.1640625" style="6" customWidth="1"/>
    <col min="35" max="35" width="13.5" style="6" customWidth="1"/>
    <col min="36" max="36" width="15.5" style="6" customWidth="1"/>
    <col min="37" max="39" width="11.5" style="6"/>
    <col min="40" max="40" width="17" style="6" customWidth="1"/>
    <col min="41" max="41" width="15.33203125" style="6" customWidth="1"/>
    <col min="42" max="42" width="14.5" style="6" customWidth="1"/>
    <col min="43" max="47" width="11.5" style="6"/>
  </cols>
  <sheetData>
    <row r="1" spans="1:47" ht="14" customHeight="1" thickTop="1">
      <c r="A1" s="323" t="s">
        <v>131</v>
      </c>
      <c r="B1" s="348" t="s">
        <v>132</v>
      </c>
      <c r="C1" s="28"/>
      <c r="D1" s="54"/>
      <c r="E1" s="310" t="s">
        <v>220</v>
      </c>
      <c r="F1" s="311"/>
      <c r="G1" s="311"/>
      <c r="H1" s="311"/>
      <c r="I1" s="311"/>
      <c r="J1" s="312"/>
      <c r="K1" s="370" t="s">
        <v>162</v>
      </c>
      <c r="L1" s="310" t="s">
        <v>221</v>
      </c>
      <c r="M1" s="311"/>
      <c r="N1" s="311"/>
      <c r="O1" s="311"/>
      <c r="P1" s="311"/>
      <c r="Q1" s="312"/>
      <c r="R1" s="310" t="s">
        <v>222</v>
      </c>
      <c r="S1" s="311"/>
      <c r="T1" s="311"/>
      <c r="U1" s="311"/>
      <c r="V1" s="311"/>
      <c r="W1" s="312"/>
      <c r="X1" s="372" t="s">
        <v>162</v>
      </c>
      <c r="Y1" s="373"/>
      <c r="AA1" s="310" t="s">
        <v>224</v>
      </c>
      <c r="AB1" s="311"/>
      <c r="AC1" s="311"/>
      <c r="AD1" s="311"/>
      <c r="AE1" s="311"/>
      <c r="AF1" s="312"/>
      <c r="AG1" s="370" t="s">
        <v>162</v>
      </c>
      <c r="AH1" s="310" t="s">
        <v>225</v>
      </c>
      <c r="AI1" s="311"/>
      <c r="AJ1" s="311"/>
      <c r="AK1" s="311"/>
      <c r="AL1" s="311"/>
      <c r="AM1" s="312"/>
      <c r="AN1" s="310" t="s">
        <v>226</v>
      </c>
      <c r="AO1" s="311"/>
      <c r="AP1" s="311"/>
      <c r="AQ1" s="311"/>
      <c r="AR1" s="311"/>
      <c r="AS1" s="312"/>
      <c r="AT1" s="372" t="s">
        <v>162</v>
      </c>
      <c r="AU1" s="373"/>
    </row>
    <row r="2" spans="1:47" ht="26.25" customHeight="1" thickBot="1">
      <c r="A2" s="324"/>
      <c r="B2" s="349"/>
      <c r="C2" s="29"/>
      <c r="D2" s="55"/>
      <c r="E2" s="313"/>
      <c r="F2" s="314"/>
      <c r="G2" s="314"/>
      <c r="H2" s="314"/>
      <c r="I2" s="314"/>
      <c r="J2" s="315"/>
      <c r="K2" s="371"/>
      <c r="L2" s="313"/>
      <c r="M2" s="314"/>
      <c r="N2" s="314"/>
      <c r="O2" s="314"/>
      <c r="P2" s="314"/>
      <c r="Q2" s="315"/>
      <c r="R2" s="313"/>
      <c r="S2" s="314"/>
      <c r="T2" s="314"/>
      <c r="U2" s="314"/>
      <c r="V2" s="314"/>
      <c r="W2" s="315"/>
      <c r="X2" s="374"/>
      <c r="Y2" s="375"/>
      <c r="AA2" s="313"/>
      <c r="AB2" s="314"/>
      <c r="AC2" s="314"/>
      <c r="AD2" s="314"/>
      <c r="AE2" s="314"/>
      <c r="AF2" s="315"/>
      <c r="AG2" s="371"/>
      <c r="AH2" s="313"/>
      <c r="AI2" s="314"/>
      <c r="AJ2" s="314"/>
      <c r="AK2" s="314"/>
      <c r="AL2" s="314"/>
      <c r="AM2" s="315"/>
      <c r="AN2" s="313"/>
      <c r="AO2" s="314"/>
      <c r="AP2" s="314"/>
      <c r="AQ2" s="314"/>
      <c r="AR2" s="314"/>
      <c r="AS2" s="315"/>
      <c r="AT2" s="374"/>
      <c r="AU2" s="375"/>
    </row>
    <row r="3" spans="1:47" ht="14" customHeight="1" thickBot="1">
      <c r="A3" s="324"/>
      <c r="B3" s="349"/>
      <c r="C3" s="30" t="s">
        <v>0</v>
      </c>
      <c r="D3" s="56"/>
      <c r="E3" s="337" t="s">
        <v>181</v>
      </c>
      <c r="F3" s="340" t="s">
        <v>1</v>
      </c>
      <c r="G3" s="341"/>
      <c r="H3" s="329" t="s">
        <v>134</v>
      </c>
      <c r="I3" s="329" t="s">
        <v>183</v>
      </c>
      <c r="J3" s="332" t="s">
        <v>135</v>
      </c>
      <c r="K3" s="382" t="s">
        <v>149</v>
      </c>
      <c r="L3" s="337" t="s">
        <v>181</v>
      </c>
      <c r="M3" s="340" t="s">
        <v>1</v>
      </c>
      <c r="N3" s="341"/>
      <c r="O3" s="329" t="s">
        <v>134</v>
      </c>
      <c r="P3" s="329" t="s">
        <v>183</v>
      </c>
      <c r="Q3" s="332" t="s">
        <v>135</v>
      </c>
      <c r="R3" s="337" t="s">
        <v>181</v>
      </c>
      <c r="S3" s="340" t="s">
        <v>1</v>
      </c>
      <c r="T3" s="341"/>
      <c r="U3" s="329" t="s">
        <v>134</v>
      </c>
      <c r="V3" s="329" t="s">
        <v>183</v>
      </c>
      <c r="W3" s="332" t="s">
        <v>135</v>
      </c>
      <c r="X3" s="376" t="s">
        <v>150</v>
      </c>
      <c r="Y3" s="379" t="s">
        <v>151</v>
      </c>
      <c r="AA3" s="337" t="s">
        <v>181</v>
      </c>
      <c r="AB3" s="340" t="s">
        <v>1</v>
      </c>
      <c r="AC3" s="341"/>
      <c r="AD3" s="329" t="s">
        <v>134</v>
      </c>
      <c r="AE3" s="329" t="s">
        <v>183</v>
      </c>
      <c r="AF3" s="332" t="s">
        <v>135</v>
      </c>
      <c r="AG3" s="382" t="s">
        <v>149</v>
      </c>
      <c r="AH3" s="337" t="s">
        <v>181</v>
      </c>
      <c r="AI3" s="340" t="s">
        <v>1</v>
      </c>
      <c r="AJ3" s="341"/>
      <c r="AK3" s="329" t="s">
        <v>134</v>
      </c>
      <c r="AL3" s="329" t="s">
        <v>183</v>
      </c>
      <c r="AM3" s="332" t="s">
        <v>135</v>
      </c>
      <c r="AN3" s="337" t="s">
        <v>181</v>
      </c>
      <c r="AO3" s="340" t="s">
        <v>1</v>
      </c>
      <c r="AP3" s="341"/>
      <c r="AQ3" s="329" t="s">
        <v>134</v>
      </c>
      <c r="AR3" s="329" t="s">
        <v>183</v>
      </c>
      <c r="AS3" s="332" t="s">
        <v>135</v>
      </c>
      <c r="AT3" s="376" t="s">
        <v>150</v>
      </c>
      <c r="AU3" s="379" t="s">
        <v>151</v>
      </c>
    </row>
    <row r="4" spans="1:47" ht="12.75" customHeight="1">
      <c r="A4" s="324"/>
      <c r="B4" s="349"/>
      <c r="C4" s="31" t="s">
        <v>2</v>
      </c>
      <c r="D4" s="57"/>
      <c r="E4" s="338"/>
      <c r="F4" s="335" t="s">
        <v>182</v>
      </c>
      <c r="G4" s="329" t="s">
        <v>133</v>
      </c>
      <c r="H4" s="330"/>
      <c r="I4" s="330"/>
      <c r="J4" s="333"/>
      <c r="K4" s="383"/>
      <c r="L4" s="338"/>
      <c r="M4" s="335" t="s">
        <v>182</v>
      </c>
      <c r="N4" s="329" t="s">
        <v>133</v>
      </c>
      <c r="O4" s="330"/>
      <c r="P4" s="330"/>
      <c r="Q4" s="333"/>
      <c r="R4" s="338"/>
      <c r="S4" s="335" t="s">
        <v>182</v>
      </c>
      <c r="T4" s="329" t="s">
        <v>133</v>
      </c>
      <c r="U4" s="330"/>
      <c r="V4" s="330"/>
      <c r="W4" s="333"/>
      <c r="X4" s="377"/>
      <c r="Y4" s="380"/>
      <c r="AA4" s="338"/>
      <c r="AB4" s="335" t="s">
        <v>182</v>
      </c>
      <c r="AC4" s="329" t="s">
        <v>133</v>
      </c>
      <c r="AD4" s="330"/>
      <c r="AE4" s="330"/>
      <c r="AF4" s="333"/>
      <c r="AG4" s="383"/>
      <c r="AH4" s="338"/>
      <c r="AI4" s="335" t="s">
        <v>182</v>
      </c>
      <c r="AJ4" s="329" t="s">
        <v>133</v>
      </c>
      <c r="AK4" s="330"/>
      <c r="AL4" s="330"/>
      <c r="AM4" s="333"/>
      <c r="AN4" s="338"/>
      <c r="AO4" s="335" t="s">
        <v>182</v>
      </c>
      <c r="AP4" s="329" t="s">
        <v>133</v>
      </c>
      <c r="AQ4" s="330"/>
      <c r="AR4" s="330"/>
      <c r="AS4" s="333"/>
      <c r="AT4" s="377"/>
      <c r="AU4" s="380"/>
    </row>
    <row r="5" spans="1:47" ht="14" customHeight="1" thickBot="1">
      <c r="A5" s="325"/>
      <c r="B5" s="350"/>
      <c r="C5" s="32"/>
      <c r="D5" s="56"/>
      <c r="E5" s="339"/>
      <c r="F5" s="336"/>
      <c r="G5" s="331"/>
      <c r="H5" s="331"/>
      <c r="I5" s="331"/>
      <c r="J5" s="334"/>
      <c r="K5" s="384"/>
      <c r="L5" s="339"/>
      <c r="M5" s="336"/>
      <c r="N5" s="331"/>
      <c r="O5" s="331"/>
      <c r="P5" s="331"/>
      <c r="Q5" s="334"/>
      <c r="R5" s="339"/>
      <c r="S5" s="336"/>
      <c r="T5" s="331"/>
      <c r="U5" s="331"/>
      <c r="V5" s="331"/>
      <c r="W5" s="334"/>
      <c r="X5" s="378"/>
      <c r="Y5" s="381"/>
      <c r="AA5" s="339"/>
      <c r="AB5" s="336"/>
      <c r="AC5" s="331"/>
      <c r="AD5" s="331"/>
      <c r="AE5" s="331"/>
      <c r="AF5" s="334"/>
      <c r="AG5" s="384"/>
      <c r="AH5" s="339"/>
      <c r="AI5" s="336"/>
      <c r="AJ5" s="331"/>
      <c r="AK5" s="331"/>
      <c r="AL5" s="331"/>
      <c r="AM5" s="334"/>
      <c r="AN5" s="339"/>
      <c r="AO5" s="336"/>
      <c r="AP5" s="331"/>
      <c r="AQ5" s="331"/>
      <c r="AR5" s="331"/>
      <c r="AS5" s="334"/>
      <c r="AT5" s="378"/>
      <c r="AU5" s="381"/>
    </row>
    <row r="6" spans="1:47" ht="18" customHeight="1" thickTop="1">
      <c r="A6" s="65">
        <v>301</v>
      </c>
      <c r="B6" s="68" t="s">
        <v>3</v>
      </c>
      <c r="C6" s="33" t="s">
        <v>4</v>
      </c>
      <c r="D6" s="41"/>
      <c r="E6" s="75">
        <v>0</v>
      </c>
      <c r="F6" s="76">
        <v>0</v>
      </c>
      <c r="G6" s="76">
        <v>0</v>
      </c>
      <c r="H6" s="76">
        <v>0</v>
      </c>
      <c r="I6" s="76">
        <v>0</v>
      </c>
      <c r="J6" s="77">
        <f t="shared" ref="J6:J42" si="0">RANK(I6,I$6:I$49,0)</f>
        <v>34</v>
      </c>
      <c r="K6" s="432"/>
      <c r="L6" s="75">
        <v>0</v>
      </c>
      <c r="M6" s="76">
        <v>0</v>
      </c>
      <c r="N6" s="76">
        <v>0</v>
      </c>
      <c r="O6" s="76">
        <v>0</v>
      </c>
      <c r="P6" s="76">
        <v>0</v>
      </c>
      <c r="Q6" s="77">
        <f t="shared" ref="Q6:Q42" si="1">RANK(P6,P$6:P$49,0)</f>
        <v>33</v>
      </c>
      <c r="R6" s="75">
        <v>0</v>
      </c>
      <c r="S6" s="76">
        <v>0</v>
      </c>
      <c r="T6" s="76">
        <v>0</v>
      </c>
      <c r="U6" s="76">
        <v>0</v>
      </c>
      <c r="V6" s="76">
        <v>0</v>
      </c>
      <c r="W6" s="77">
        <f t="shared" ref="W6:W42" si="2">RANK(V6,V$6:V$49,0)</f>
        <v>33</v>
      </c>
      <c r="X6" s="37"/>
      <c r="Y6" s="38"/>
      <c r="AA6" s="75">
        <v>0</v>
      </c>
      <c r="AB6" s="76">
        <v>0</v>
      </c>
      <c r="AC6" s="76">
        <v>0</v>
      </c>
      <c r="AD6" s="76">
        <v>0</v>
      </c>
      <c r="AE6" s="76">
        <v>0</v>
      </c>
      <c r="AF6" s="77">
        <f t="shared" ref="AF6:AF42" si="3">RANK(AE6,AE$6:AE$49,0)</f>
        <v>33</v>
      </c>
      <c r="AG6" s="432"/>
      <c r="AH6" s="75">
        <v>0</v>
      </c>
      <c r="AI6" s="76">
        <v>0</v>
      </c>
      <c r="AJ6" s="76">
        <v>0</v>
      </c>
      <c r="AK6" s="76">
        <v>0</v>
      </c>
      <c r="AL6" s="76">
        <v>0</v>
      </c>
      <c r="AM6" s="77">
        <f t="shared" ref="AM6:AM42" si="4">RANK(AL6,AL$6:AL$49,0)</f>
        <v>33</v>
      </c>
      <c r="AN6" s="75">
        <v>0</v>
      </c>
      <c r="AO6" s="76">
        <v>0</v>
      </c>
      <c r="AP6" s="76">
        <v>0</v>
      </c>
      <c r="AQ6" s="76">
        <v>0</v>
      </c>
      <c r="AR6" s="76">
        <v>0</v>
      </c>
      <c r="AS6" s="77">
        <f t="shared" ref="AS6:AS42" si="5">RANK(AR6,AR$6:AR$49,0)</f>
        <v>33</v>
      </c>
      <c r="AT6" s="37"/>
      <c r="AU6" s="38"/>
    </row>
    <row r="7" spans="1:47" ht="18" customHeight="1">
      <c r="A7" s="65">
        <v>302</v>
      </c>
      <c r="B7" s="68" t="s">
        <v>5</v>
      </c>
      <c r="C7" s="33" t="s">
        <v>6</v>
      </c>
      <c r="D7" s="41"/>
      <c r="E7" s="24">
        <v>0</v>
      </c>
      <c r="F7" s="14">
        <v>0</v>
      </c>
      <c r="G7" s="14">
        <v>0</v>
      </c>
      <c r="H7" s="76">
        <v>0</v>
      </c>
      <c r="I7" s="14">
        <v>0</v>
      </c>
      <c r="J7" s="77">
        <f t="shared" si="0"/>
        <v>34</v>
      </c>
      <c r="K7" s="432"/>
      <c r="L7" s="24">
        <v>0</v>
      </c>
      <c r="M7" s="14">
        <v>0</v>
      </c>
      <c r="N7" s="14">
        <v>0</v>
      </c>
      <c r="O7" s="76">
        <v>0</v>
      </c>
      <c r="P7" s="14">
        <v>0</v>
      </c>
      <c r="Q7" s="77">
        <f t="shared" si="1"/>
        <v>33</v>
      </c>
      <c r="R7" s="24">
        <v>0</v>
      </c>
      <c r="S7" s="14">
        <v>0</v>
      </c>
      <c r="T7" s="14">
        <v>0</v>
      </c>
      <c r="U7" s="76">
        <v>0</v>
      </c>
      <c r="V7" s="14">
        <v>0</v>
      </c>
      <c r="W7" s="77">
        <f t="shared" si="2"/>
        <v>33</v>
      </c>
      <c r="X7" s="37"/>
      <c r="Y7" s="38"/>
      <c r="AA7" s="24">
        <v>0</v>
      </c>
      <c r="AB7" s="14">
        <v>0</v>
      </c>
      <c r="AC7" s="14">
        <v>0</v>
      </c>
      <c r="AD7" s="76">
        <v>0</v>
      </c>
      <c r="AE7" s="14">
        <v>0</v>
      </c>
      <c r="AF7" s="77">
        <f t="shared" si="3"/>
        <v>33</v>
      </c>
      <c r="AG7" s="432"/>
      <c r="AH7" s="24">
        <v>0</v>
      </c>
      <c r="AI7" s="14">
        <v>0</v>
      </c>
      <c r="AJ7" s="14">
        <v>0</v>
      </c>
      <c r="AK7" s="76">
        <v>0</v>
      </c>
      <c r="AL7" s="14">
        <v>0</v>
      </c>
      <c r="AM7" s="77">
        <f t="shared" si="4"/>
        <v>33</v>
      </c>
      <c r="AN7" s="24">
        <v>0</v>
      </c>
      <c r="AO7" s="14">
        <v>0</v>
      </c>
      <c r="AP7" s="14">
        <v>0</v>
      </c>
      <c r="AQ7" s="76">
        <v>0</v>
      </c>
      <c r="AR7" s="14">
        <v>0</v>
      </c>
      <c r="AS7" s="77">
        <f t="shared" si="5"/>
        <v>33</v>
      </c>
      <c r="AT7" s="37"/>
      <c r="AU7" s="38"/>
    </row>
    <row r="8" spans="1:47" ht="18" customHeight="1">
      <c r="A8" s="65">
        <v>303</v>
      </c>
      <c r="B8" s="68" t="s">
        <v>7</v>
      </c>
      <c r="C8" s="33" t="s">
        <v>8</v>
      </c>
      <c r="D8" s="41"/>
      <c r="E8" s="24">
        <v>0</v>
      </c>
      <c r="F8" s="14">
        <v>0</v>
      </c>
      <c r="G8" s="14">
        <v>0</v>
      </c>
      <c r="H8" s="76">
        <v>0</v>
      </c>
      <c r="I8" s="14">
        <v>0</v>
      </c>
      <c r="J8" s="77">
        <f t="shared" si="0"/>
        <v>34</v>
      </c>
      <c r="K8" s="432"/>
      <c r="L8" s="24">
        <v>0</v>
      </c>
      <c r="M8" s="14">
        <v>0</v>
      </c>
      <c r="N8" s="14">
        <v>0</v>
      </c>
      <c r="O8" s="76">
        <v>0</v>
      </c>
      <c r="P8" s="14">
        <v>0</v>
      </c>
      <c r="Q8" s="77">
        <f t="shared" si="1"/>
        <v>33</v>
      </c>
      <c r="R8" s="24">
        <v>0</v>
      </c>
      <c r="S8" s="14">
        <v>0</v>
      </c>
      <c r="T8" s="14">
        <v>0</v>
      </c>
      <c r="U8" s="76">
        <v>0</v>
      </c>
      <c r="V8" s="14">
        <v>0</v>
      </c>
      <c r="W8" s="77">
        <f t="shared" si="2"/>
        <v>33</v>
      </c>
      <c r="X8" s="37"/>
      <c r="Y8" s="38"/>
      <c r="AA8" s="24">
        <v>0</v>
      </c>
      <c r="AB8" s="14">
        <v>0</v>
      </c>
      <c r="AC8" s="14">
        <v>0</v>
      </c>
      <c r="AD8" s="76">
        <v>0</v>
      </c>
      <c r="AE8" s="14">
        <v>0</v>
      </c>
      <c r="AF8" s="77">
        <f t="shared" si="3"/>
        <v>33</v>
      </c>
      <c r="AG8" s="432"/>
      <c r="AH8" s="24">
        <v>0</v>
      </c>
      <c r="AI8" s="14">
        <v>0</v>
      </c>
      <c r="AJ8" s="14">
        <v>0</v>
      </c>
      <c r="AK8" s="76">
        <v>0</v>
      </c>
      <c r="AL8" s="14">
        <v>0</v>
      </c>
      <c r="AM8" s="77">
        <f t="shared" si="4"/>
        <v>33</v>
      </c>
      <c r="AN8" s="24">
        <v>0</v>
      </c>
      <c r="AO8" s="14">
        <v>0</v>
      </c>
      <c r="AP8" s="14">
        <v>0</v>
      </c>
      <c r="AQ8" s="76">
        <v>0</v>
      </c>
      <c r="AR8" s="14">
        <v>0</v>
      </c>
      <c r="AS8" s="77">
        <f t="shared" si="5"/>
        <v>33</v>
      </c>
      <c r="AT8" s="37"/>
      <c r="AU8" s="38"/>
    </row>
    <row r="9" spans="1:47" ht="18" customHeight="1">
      <c r="A9" s="65">
        <v>304</v>
      </c>
      <c r="B9" s="68" t="s">
        <v>9</v>
      </c>
      <c r="C9" s="33" t="s">
        <v>10</v>
      </c>
      <c r="D9" s="41"/>
      <c r="E9" s="24">
        <v>465704149</v>
      </c>
      <c r="F9" s="14">
        <v>75110024</v>
      </c>
      <c r="G9" s="14">
        <v>390594125</v>
      </c>
      <c r="H9" s="76">
        <v>589</v>
      </c>
      <c r="I9" s="14">
        <v>55262</v>
      </c>
      <c r="J9" s="77">
        <f t="shared" si="0"/>
        <v>5</v>
      </c>
      <c r="K9" s="432"/>
      <c r="L9" s="24">
        <v>517187881</v>
      </c>
      <c r="M9" s="14">
        <v>85705212</v>
      </c>
      <c r="N9" s="14">
        <v>431482669</v>
      </c>
      <c r="O9" s="76">
        <v>583.79</v>
      </c>
      <c r="P9" s="14">
        <v>61592</v>
      </c>
      <c r="Q9" s="77">
        <f t="shared" si="1"/>
        <v>3</v>
      </c>
      <c r="R9" s="24">
        <v>512218563</v>
      </c>
      <c r="S9" s="14">
        <v>92244335</v>
      </c>
      <c r="T9" s="14">
        <v>419974228</v>
      </c>
      <c r="U9" s="76">
        <v>549.44000000000005</v>
      </c>
      <c r="V9" s="14">
        <v>63697</v>
      </c>
      <c r="W9" s="77">
        <f t="shared" si="2"/>
        <v>3</v>
      </c>
      <c r="X9" s="37"/>
      <c r="Y9" s="38"/>
      <c r="AA9" s="24">
        <v>504163458</v>
      </c>
      <c r="AB9" s="14">
        <v>91738048</v>
      </c>
      <c r="AC9" s="14">
        <v>412425410</v>
      </c>
      <c r="AD9" s="76">
        <v>596.5</v>
      </c>
      <c r="AE9" s="14">
        <v>57617</v>
      </c>
      <c r="AF9" s="77">
        <f t="shared" si="3"/>
        <v>6</v>
      </c>
      <c r="AG9" s="432"/>
      <c r="AH9" s="24">
        <v>507542726</v>
      </c>
      <c r="AI9" s="14">
        <v>89538748</v>
      </c>
      <c r="AJ9" s="14">
        <v>418003978</v>
      </c>
      <c r="AK9" s="76">
        <v>584.25</v>
      </c>
      <c r="AL9" s="14">
        <v>59621</v>
      </c>
      <c r="AM9" s="77">
        <f t="shared" si="4"/>
        <v>3</v>
      </c>
      <c r="AN9" s="24">
        <v>518695257</v>
      </c>
      <c r="AO9" s="14">
        <v>79745871</v>
      </c>
      <c r="AP9" s="14">
        <v>438949386</v>
      </c>
      <c r="AQ9" s="76">
        <v>540.19000000000005</v>
      </c>
      <c r="AR9" s="14">
        <v>67715</v>
      </c>
      <c r="AS9" s="77">
        <f t="shared" si="5"/>
        <v>3</v>
      </c>
      <c r="AT9" s="37"/>
      <c r="AU9" s="38"/>
    </row>
    <row r="10" spans="1:47" ht="18" customHeight="1">
      <c r="A10" s="65">
        <v>306</v>
      </c>
      <c r="B10" s="68" t="s">
        <v>11</v>
      </c>
      <c r="C10" s="33" t="s">
        <v>12</v>
      </c>
      <c r="D10" s="41"/>
      <c r="E10" s="24">
        <v>1096358435</v>
      </c>
      <c r="F10" s="14">
        <v>7918296</v>
      </c>
      <c r="G10" s="14">
        <v>1088440139</v>
      </c>
      <c r="H10" s="76">
        <v>2014</v>
      </c>
      <c r="I10" s="14">
        <v>45036</v>
      </c>
      <c r="J10" s="77">
        <f t="shared" si="0"/>
        <v>22</v>
      </c>
      <c r="K10" s="432"/>
      <c r="L10" s="24">
        <v>1092352515</v>
      </c>
      <c r="M10" s="14">
        <v>7918296</v>
      </c>
      <c r="N10" s="14">
        <v>1084434219</v>
      </c>
      <c r="O10" s="76">
        <v>2007.66</v>
      </c>
      <c r="P10" s="14">
        <v>45012</v>
      </c>
      <c r="Q10" s="77">
        <f t="shared" si="1"/>
        <v>24</v>
      </c>
      <c r="R10" s="24">
        <v>1089397609</v>
      </c>
      <c r="S10" s="14">
        <v>8725290</v>
      </c>
      <c r="T10" s="14">
        <v>1080672319</v>
      </c>
      <c r="U10" s="76">
        <v>1835.3899999999999</v>
      </c>
      <c r="V10" s="14">
        <v>49066</v>
      </c>
      <c r="W10" s="77">
        <f t="shared" si="2"/>
        <v>22</v>
      </c>
      <c r="X10" s="37"/>
      <c r="Y10" s="38"/>
      <c r="AA10" s="24">
        <v>1145139791</v>
      </c>
      <c r="AB10" s="14">
        <v>8238696</v>
      </c>
      <c r="AC10" s="14">
        <v>1136901095</v>
      </c>
      <c r="AD10" s="76">
        <v>2004</v>
      </c>
      <c r="AE10" s="14">
        <v>47276</v>
      </c>
      <c r="AF10" s="77">
        <f t="shared" si="3"/>
        <v>25</v>
      </c>
      <c r="AG10" s="432"/>
      <c r="AH10" s="24">
        <v>1141106072</v>
      </c>
      <c r="AI10" s="14">
        <v>10702192</v>
      </c>
      <c r="AJ10" s="14">
        <v>1130403880</v>
      </c>
      <c r="AK10" s="76">
        <v>2003.75</v>
      </c>
      <c r="AL10" s="14">
        <v>47012</v>
      </c>
      <c r="AM10" s="77">
        <f t="shared" si="4"/>
        <v>26</v>
      </c>
      <c r="AN10" s="24">
        <v>1135771903.3900001</v>
      </c>
      <c r="AO10" s="14">
        <v>7827759.3900000006</v>
      </c>
      <c r="AP10" s="14">
        <v>1127944144</v>
      </c>
      <c r="AQ10" s="76">
        <v>1840.66</v>
      </c>
      <c r="AR10" s="14">
        <v>51066</v>
      </c>
      <c r="AS10" s="77">
        <f t="shared" si="5"/>
        <v>25</v>
      </c>
      <c r="AT10" s="37"/>
      <c r="AU10" s="38"/>
    </row>
    <row r="11" spans="1:47" ht="18" customHeight="1">
      <c r="A11" s="65">
        <v>307</v>
      </c>
      <c r="B11" s="68" t="s">
        <v>13</v>
      </c>
      <c r="C11" s="33" t="s">
        <v>14</v>
      </c>
      <c r="D11" s="41"/>
      <c r="E11" s="24">
        <v>1912186803</v>
      </c>
      <c r="F11" s="14">
        <v>53751465</v>
      </c>
      <c r="G11" s="14">
        <v>1858435338</v>
      </c>
      <c r="H11" s="76">
        <v>2691</v>
      </c>
      <c r="I11" s="14">
        <v>57551</v>
      </c>
      <c r="J11" s="77">
        <f t="shared" si="0"/>
        <v>3</v>
      </c>
      <c r="K11" s="432"/>
      <c r="L11" s="24">
        <v>1949525076</v>
      </c>
      <c r="M11" s="14">
        <v>54649465</v>
      </c>
      <c r="N11" s="14">
        <v>1894875611</v>
      </c>
      <c r="O11" s="76">
        <v>2691</v>
      </c>
      <c r="P11" s="14">
        <v>58679</v>
      </c>
      <c r="Q11" s="77">
        <f t="shared" si="1"/>
        <v>4</v>
      </c>
      <c r="R11" s="24">
        <v>1838883964</v>
      </c>
      <c r="S11" s="14">
        <v>71170673</v>
      </c>
      <c r="T11" s="14">
        <v>1767713291</v>
      </c>
      <c r="U11" s="76">
        <v>2381.36</v>
      </c>
      <c r="V11" s="14">
        <v>61859</v>
      </c>
      <c r="W11" s="77">
        <f t="shared" si="2"/>
        <v>5</v>
      </c>
      <c r="X11" s="37"/>
      <c r="Y11" s="38"/>
      <c r="AA11" s="24">
        <v>2066507946</v>
      </c>
      <c r="AB11" s="14">
        <v>33071865</v>
      </c>
      <c r="AC11" s="14">
        <v>2033436081</v>
      </c>
      <c r="AD11" s="76">
        <v>2752</v>
      </c>
      <c r="AE11" s="14">
        <v>61574</v>
      </c>
      <c r="AF11" s="77">
        <f t="shared" si="3"/>
        <v>3</v>
      </c>
      <c r="AG11" s="432"/>
      <c r="AH11" s="24">
        <v>1984174286</v>
      </c>
      <c r="AI11" s="14">
        <v>33087865</v>
      </c>
      <c r="AJ11" s="14">
        <v>1951086421</v>
      </c>
      <c r="AK11" s="76">
        <v>2752</v>
      </c>
      <c r="AL11" s="14">
        <v>59081</v>
      </c>
      <c r="AM11" s="77">
        <f t="shared" si="4"/>
        <v>5</v>
      </c>
      <c r="AN11" s="24">
        <v>1959137302</v>
      </c>
      <c r="AO11" s="14">
        <v>61915080</v>
      </c>
      <c r="AP11" s="14">
        <v>1897222222</v>
      </c>
      <c r="AQ11" s="76">
        <v>2424.0299999999997</v>
      </c>
      <c r="AR11" s="14">
        <v>65223</v>
      </c>
      <c r="AS11" s="77">
        <f t="shared" si="5"/>
        <v>5</v>
      </c>
      <c r="AT11" s="37"/>
      <c r="AU11" s="38"/>
    </row>
    <row r="12" spans="1:47" ht="18" customHeight="1">
      <c r="A12" s="65">
        <v>308</v>
      </c>
      <c r="B12" s="68" t="s">
        <v>80</v>
      </c>
      <c r="C12" s="33" t="s">
        <v>81</v>
      </c>
      <c r="D12" s="41"/>
      <c r="E12" s="24">
        <v>169118073</v>
      </c>
      <c r="F12" s="14">
        <v>1420438</v>
      </c>
      <c r="G12" s="14">
        <v>167697635</v>
      </c>
      <c r="H12" s="76">
        <v>262</v>
      </c>
      <c r="I12" s="14">
        <v>53339</v>
      </c>
      <c r="J12" s="77">
        <f t="shared" si="0"/>
        <v>9</v>
      </c>
      <c r="K12" s="432"/>
      <c r="L12" s="24">
        <v>171118073</v>
      </c>
      <c r="M12" s="14">
        <v>1420438</v>
      </c>
      <c r="N12" s="14">
        <v>169697635</v>
      </c>
      <c r="O12" s="76">
        <v>262</v>
      </c>
      <c r="P12" s="14">
        <v>53975</v>
      </c>
      <c r="Q12" s="77">
        <f t="shared" si="1"/>
        <v>10</v>
      </c>
      <c r="R12" s="24">
        <v>163305774</v>
      </c>
      <c r="S12" s="14">
        <v>1287300</v>
      </c>
      <c r="T12" s="14">
        <v>162018474</v>
      </c>
      <c r="U12" s="76">
        <v>235.18</v>
      </c>
      <c r="V12" s="14">
        <v>57409</v>
      </c>
      <c r="W12" s="77">
        <f t="shared" si="2"/>
        <v>10</v>
      </c>
      <c r="X12" s="37"/>
      <c r="Y12" s="38"/>
      <c r="AA12" s="24">
        <v>177502955</v>
      </c>
      <c r="AB12" s="14">
        <v>1420438</v>
      </c>
      <c r="AC12" s="14">
        <v>176082517</v>
      </c>
      <c r="AD12" s="76">
        <v>262</v>
      </c>
      <c r="AE12" s="14">
        <v>56006</v>
      </c>
      <c r="AF12" s="77">
        <f t="shared" si="3"/>
        <v>8</v>
      </c>
      <c r="AG12" s="432"/>
      <c r="AH12" s="24">
        <v>184411290</v>
      </c>
      <c r="AI12" s="14">
        <v>1420438</v>
      </c>
      <c r="AJ12" s="14">
        <v>182990852</v>
      </c>
      <c r="AK12" s="76">
        <v>262</v>
      </c>
      <c r="AL12" s="14">
        <v>58203</v>
      </c>
      <c r="AM12" s="77">
        <f t="shared" si="4"/>
        <v>7</v>
      </c>
      <c r="AN12" s="24">
        <v>182091638</v>
      </c>
      <c r="AO12" s="14">
        <v>2626566</v>
      </c>
      <c r="AP12" s="14">
        <v>179465072</v>
      </c>
      <c r="AQ12" s="76">
        <v>232.85</v>
      </c>
      <c r="AR12" s="14">
        <v>64228</v>
      </c>
      <c r="AS12" s="77">
        <f t="shared" si="5"/>
        <v>7</v>
      </c>
      <c r="AT12" s="37"/>
      <c r="AU12" s="38"/>
    </row>
    <row r="13" spans="1:47" ht="18" customHeight="1">
      <c r="A13" s="65">
        <v>309</v>
      </c>
      <c r="B13" s="68" t="s">
        <v>82</v>
      </c>
      <c r="C13" s="33" t="s">
        <v>91</v>
      </c>
      <c r="D13" s="41"/>
      <c r="E13" s="24">
        <v>0</v>
      </c>
      <c r="F13" s="14">
        <v>0</v>
      </c>
      <c r="G13" s="14">
        <v>0</v>
      </c>
      <c r="H13" s="76">
        <v>0</v>
      </c>
      <c r="I13" s="14">
        <v>0</v>
      </c>
      <c r="J13" s="77">
        <f t="shared" si="0"/>
        <v>34</v>
      </c>
      <c r="K13" s="432"/>
      <c r="L13" s="24">
        <v>0</v>
      </c>
      <c r="M13" s="14">
        <v>0</v>
      </c>
      <c r="N13" s="14">
        <v>0</v>
      </c>
      <c r="O13" s="76">
        <v>0</v>
      </c>
      <c r="P13" s="14">
        <v>0</v>
      </c>
      <c r="Q13" s="77">
        <f t="shared" si="1"/>
        <v>33</v>
      </c>
      <c r="R13" s="24">
        <v>0</v>
      </c>
      <c r="S13" s="14">
        <v>0</v>
      </c>
      <c r="T13" s="14">
        <v>0</v>
      </c>
      <c r="U13" s="76">
        <v>0</v>
      </c>
      <c r="V13" s="14">
        <v>0</v>
      </c>
      <c r="W13" s="77">
        <f t="shared" si="2"/>
        <v>33</v>
      </c>
      <c r="X13" s="37"/>
      <c r="Y13" s="38"/>
      <c r="AA13" s="24">
        <v>0</v>
      </c>
      <c r="AB13" s="14">
        <v>0</v>
      </c>
      <c r="AC13" s="14">
        <v>0</v>
      </c>
      <c r="AD13" s="76">
        <v>0</v>
      </c>
      <c r="AE13" s="14">
        <v>0</v>
      </c>
      <c r="AF13" s="77">
        <f t="shared" si="3"/>
        <v>33</v>
      </c>
      <c r="AG13" s="432"/>
      <c r="AH13" s="24">
        <v>0</v>
      </c>
      <c r="AI13" s="14">
        <v>0</v>
      </c>
      <c r="AJ13" s="14">
        <v>0</v>
      </c>
      <c r="AK13" s="76">
        <v>0</v>
      </c>
      <c r="AL13" s="14">
        <v>0</v>
      </c>
      <c r="AM13" s="77">
        <f t="shared" si="4"/>
        <v>33</v>
      </c>
      <c r="AN13" s="24">
        <v>0</v>
      </c>
      <c r="AO13" s="14">
        <v>0</v>
      </c>
      <c r="AP13" s="14">
        <v>0</v>
      </c>
      <c r="AQ13" s="76">
        <v>0</v>
      </c>
      <c r="AR13" s="14">
        <v>0</v>
      </c>
      <c r="AS13" s="77">
        <f t="shared" si="5"/>
        <v>33</v>
      </c>
      <c r="AT13" s="37"/>
      <c r="AU13" s="38"/>
    </row>
    <row r="14" spans="1:47" ht="18" customHeight="1">
      <c r="A14" s="65">
        <v>312</v>
      </c>
      <c r="B14" s="68" t="s">
        <v>15</v>
      </c>
      <c r="C14" s="33" t="s">
        <v>16</v>
      </c>
      <c r="D14" s="41"/>
      <c r="E14" s="24">
        <v>12101916949</v>
      </c>
      <c r="F14" s="14">
        <v>46580972</v>
      </c>
      <c r="G14" s="14">
        <v>12055335977</v>
      </c>
      <c r="H14" s="76">
        <v>21721</v>
      </c>
      <c r="I14" s="14">
        <v>46251</v>
      </c>
      <c r="J14" s="77">
        <f t="shared" si="0"/>
        <v>21</v>
      </c>
      <c r="K14" s="432"/>
      <c r="L14" s="24">
        <v>12112263490</v>
      </c>
      <c r="M14" s="14">
        <v>47423797</v>
      </c>
      <c r="N14" s="14">
        <v>12064839693</v>
      </c>
      <c r="O14" s="76">
        <v>21721.87</v>
      </c>
      <c r="P14" s="14">
        <v>46285</v>
      </c>
      <c r="Q14" s="77">
        <f t="shared" si="1"/>
        <v>22</v>
      </c>
      <c r="R14" s="24">
        <v>11840673717.049999</v>
      </c>
      <c r="S14" s="14">
        <v>73410354</v>
      </c>
      <c r="T14" s="14">
        <v>11767263363.049999</v>
      </c>
      <c r="U14" s="76">
        <v>20034.760000000002</v>
      </c>
      <c r="V14" s="14">
        <v>48945</v>
      </c>
      <c r="W14" s="77">
        <f t="shared" si="2"/>
        <v>23</v>
      </c>
      <c r="X14" s="37"/>
      <c r="Y14" s="38"/>
      <c r="AA14" s="24">
        <v>12727580802</v>
      </c>
      <c r="AB14" s="14">
        <v>46331416</v>
      </c>
      <c r="AC14" s="14">
        <v>12681249386</v>
      </c>
      <c r="AD14" s="76">
        <v>21578.666666666664</v>
      </c>
      <c r="AE14" s="14">
        <v>48973</v>
      </c>
      <c r="AF14" s="77">
        <f t="shared" si="3"/>
        <v>24</v>
      </c>
      <c r="AG14" s="432"/>
      <c r="AH14" s="24">
        <v>12380493756</v>
      </c>
      <c r="AI14" s="14">
        <v>50064418</v>
      </c>
      <c r="AJ14" s="14">
        <v>12330429338</v>
      </c>
      <c r="AK14" s="76">
        <v>21593</v>
      </c>
      <c r="AL14" s="14">
        <v>47587</v>
      </c>
      <c r="AM14" s="77">
        <f t="shared" si="4"/>
        <v>25</v>
      </c>
      <c r="AN14" s="24">
        <v>12291608875.74</v>
      </c>
      <c r="AO14" s="14">
        <v>42123015</v>
      </c>
      <c r="AP14" s="14">
        <v>12249485860.74</v>
      </c>
      <c r="AQ14" s="76">
        <v>19794.75</v>
      </c>
      <c r="AR14" s="14">
        <v>51569</v>
      </c>
      <c r="AS14" s="77">
        <f t="shared" si="5"/>
        <v>24</v>
      </c>
      <c r="AT14" s="37"/>
      <c r="AU14" s="38"/>
    </row>
    <row r="15" spans="1:47" ht="18" customHeight="1">
      <c r="A15" s="65">
        <v>313</v>
      </c>
      <c r="B15" s="68" t="s">
        <v>17</v>
      </c>
      <c r="C15" s="33" t="s">
        <v>18</v>
      </c>
      <c r="D15" s="41"/>
      <c r="E15" s="24">
        <v>9021184746</v>
      </c>
      <c r="F15" s="14">
        <v>52206922</v>
      </c>
      <c r="G15" s="14">
        <v>8968977824</v>
      </c>
      <c r="H15" s="76">
        <v>21894.550000000003</v>
      </c>
      <c r="I15" s="14">
        <v>34137</v>
      </c>
      <c r="J15" s="77">
        <f t="shared" si="0"/>
        <v>32</v>
      </c>
      <c r="K15" s="432"/>
      <c r="L15" s="24">
        <v>10375102163</v>
      </c>
      <c r="M15" s="14">
        <v>250936662</v>
      </c>
      <c r="N15" s="14">
        <v>10124165501</v>
      </c>
      <c r="O15" s="76">
        <v>21064.25</v>
      </c>
      <c r="P15" s="14">
        <v>40053</v>
      </c>
      <c r="Q15" s="77">
        <f t="shared" si="1"/>
        <v>30</v>
      </c>
      <c r="R15" s="24">
        <v>10336567554</v>
      </c>
      <c r="S15" s="14">
        <v>236840086</v>
      </c>
      <c r="T15" s="14">
        <v>10099727468</v>
      </c>
      <c r="U15" s="76">
        <v>20130.500000000004</v>
      </c>
      <c r="V15" s="14">
        <v>41809</v>
      </c>
      <c r="W15" s="77">
        <f t="shared" si="2"/>
        <v>30</v>
      </c>
      <c r="X15" s="37"/>
      <c r="Y15" s="38"/>
      <c r="AA15" s="24">
        <v>9749782756</v>
      </c>
      <c r="AB15" s="14">
        <v>101070275</v>
      </c>
      <c r="AC15" s="14">
        <v>9648712481</v>
      </c>
      <c r="AD15" s="76">
        <v>21277</v>
      </c>
      <c r="AE15" s="14">
        <v>37790</v>
      </c>
      <c r="AF15" s="77">
        <f t="shared" si="3"/>
        <v>31</v>
      </c>
      <c r="AG15" s="432"/>
      <c r="AH15" s="24">
        <v>10618490368</v>
      </c>
      <c r="AI15" s="14">
        <v>117703005</v>
      </c>
      <c r="AJ15" s="14">
        <v>10500787363</v>
      </c>
      <c r="AK15" s="76">
        <v>21036.989999999998</v>
      </c>
      <c r="AL15" s="14">
        <v>41597</v>
      </c>
      <c r="AM15" s="77">
        <f t="shared" si="4"/>
        <v>31</v>
      </c>
      <c r="AN15" s="24">
        <v>10472181849.73</v>
      </c>
      <c r="AO15" s="14">
        <v>118661353</v>
      </c>
      <c r="AP15" s="14">
        <v>10353520496.73</v>
      </c>
      <c r="AQ15" s="76">
        <v>19665.91</v>
      </c>
      <c r="AR15" s="14">
        <v>43873</v>
      </c>
      <c r="AS15" s="77">
        <f t="shared" si="5"/>
        <v>31</v>
      </c>
      <c r="AT15" s="37"/>
      <c r="AU15" s="38"/>
    </row>
    <row r="16" spans="1:47" ht="18" customHeight="1">
      <c r="A16" s="65">
        <v>314</v>
      </c>
      <c r="B16" s="68" t="s">
        <v>19</v>
      </c>
      <c r="C16" s="33" t="s">
        <v>20</v>
      </c>
      <c r="D16" s="41"/>
      <c r="E16" s="24">
        <v>39976867003</v>
      </c>
      <c r="F16" s="14">
        <v>325772771</v>
      </c>
      <c r="G16" s="14">
        <v>39651094232</v>
      </c>
      <c r="H16" s="76">
        <v>70819.209999999992</v>
      </c>
      <c r="I16" s="14">
        <v>46658</v>
      </c>
      <c r="J16" s="77">
        <f t="shared" si="0"/>
        <v>19</v>
      </c>
      <c r="K16" s="432"/>
      <c r="L16" s="24">
        <v>40519498988</v>
      </c>
      <c r="M16" s="14">
        <v>493105450</v>
      </c>
      <c r="N16" s="14">
        <v>40026393538</v>
      </c>
      <c r="O16" s="76">
        <v>70980.570000000007</v>
      </c>
      <c r="P16" s="14">
        <v>46992</v>
      </c>
      <c r="Q16" s="77">
        <f t="shared" si="1"/>
        <v>20</v>
      </c>
      <c r="R16" s="24">
        <v>40582074209.539993</v>
      </c>
      <c r="S16" s="14">
        <v>499207139.35000002</v>
      </c>
      <c r="T16" s="14">
        <v>40082867070.189995</v>
      </c>
      <c r="U16" s="76">
        <v>64158.249999999993</v>
      </c>
      <c r="V16" s="14">
        <v>52063</v>
      </c>
      <c r="W16" s="77">
        <f t="shared" si="2"/>
        <v>18</v>
      </c>
      <c r="X16" s="37"/>
      <c r="Y16" s="38"/>
      <c r="AA16" s="24">
        <v>42889700591</v>
      </c>
      <c r="AB16" s="14">
        <v>376439943</v>
      </c>
      <c r="AC16" s="14">
        <v>42513260648</v>
      </c>
      <c r="AD16" s="76">
        <v>70972.509999999995</v>
      </c>
      <c r="AE16" s="14">
        <v>49918</v>
      </c>
      <c r="AF16" s="77">
        <f t="shared" si="3"/>
        <v>21</v>
      </c>
      <c r="AG16" s="432"/>
      <c r="AH16" s="24">
        <v>43605401902</v>
      </c>
      <c r="AI16" s="14">
        <v>480943030</v>
      </c>
      <c r="AJ16" s="14">
        <v>43124458872</v>
      </c>
      <c r="AK16" s="76">
        <v>70867.89</v>
      </c>
      <c r="AL16" s="14">
        <v>50710</v>
      </c>
      <c r="AM16" s="77">
        <f t="shared" si="4"/>
        <v>20</v>
      </c>
      <c r="AN16" s="24">
        <v>43572278725.600006</v>
      </c>
      <c r="AO16" s="14">
        <v>561573323.12</v>
      </c>
      <c r="AP16" s="14">
        <v>43010705402.480003</v>
      </c>
      <c r="AQ16" s="76">
        <v>64226.069999999992</v>
      </c>
      <c r="AR16" s="14">
        <v>55806</v>
      </c>
      <c r="AS16" s="77">
        <f t="shared" si="5"/>
        <v>17</v>
      </c>
      <c r="AT16" s="37"/>
      <c r="AU16" s="38"/>
    </row>
    <row r="17" spans="1:47" ht="18" customHeight="1">
      <c r="A17" s="65">
        <v>315</v>
      </c>
      <c r="B17" s="68" t="s">
        <v>21</v>
      </c>
      <c r="C17" s="33" t="s">
        <v>22</v>
      </c>
      <c r="D17" s="41"/>
      <c r="E17" s="24">
        <v>1156038538</v>
      </c>
      <c r="F17" s="14">
        <v>41250521</v>
      </c>
      <c r="G17" s="14">
        <v>1114788017</v>
      </c>
      <c r="H17" s="76">
        <v>1958.0300000000002</v>
      </c>
      <c r="I17" s="14">
        <v>47445</v>
      </c>
      <c r="J17" s="77">
        <f t="shared" si="0"/>
        <v>18</v>
      </c>
      <c r="K17" s="432"/>
      <c r="L17" s="24">
        <v>1242800385</v>
      </c>
      <c r="M17" s="14">
        <v>59301791</v>
      </c>
      <c r="N17" s="14">
        <v>1183498594</v>
      </c>
      <c r="O17" s="76">
        <v>1996.1399999999999</v>
      </c>
      <c r="P17" s="14">
        <v>49408</v>
      </c>
      <c r="Q17" s="77">
        <f t="shared" si="1"/>
        <v>18</v>
      </c>
      <c r="R17" s="24">
        <v>1163282750</v>
      </c>
      <c r="S17" s="14">
        <v>50174238</v>
      </c>
      <c r="T17" s="14">
        <v>1113108512</v>
      </c>
      <c r="U17" s="76">
        <v>1849.3500000000001</v>
      </c>
      <c r="V17" s="14">
        <v>50158</v>
      </c>
      <c r="W17" s="77">
        <f t="shared" si="2"/>
        <v>20</v>
      </c>
      <c r="X17" s="37"/>
      <c r="Y17" s="38"/>
      <c r="AA17" s="24">
        <v>1287861049</v>
      </c>
      <c r="AB17" s="14">
        <v>42795470</v>
      </c>
      <c r="AC17" s="14">
        <v>1245065579</v>
      </c>
      <c r="AD17" s="76">
        <v>2020.14</v>
      </c>
      <c r="AE17" s="14">
        <v>51361</v>
      </c>
      <c r="AF17" s="77">
        <f t="shared" si="3"/>
        <v>19</v>
      </c>
      <c r="AG17" s="432"/>
      <c r="AH17" s="24">
        <v>1296310514</v>
      </c>
      <c r="AI17" s="14">
        <v>48292949</v>
      </c>
      <c r="AJ17" s="14">
        <v>1248017565</v>
      </c>
      <c r="AK17" s="76">
        <v>2050.9499999999998</v>
      </c>
      <c r="AL17" s="14">
        <v>50709</v>
      </c>
      <c r="AM17" s="77">
        <f t="shared" si="4"/>
        <v>21</v>
      </c>
      <c r="AN17" s="24">
        <v>1287381340</v>
      </c>
      <c r="AO17" s="14">
        <v>59538249</v>
      </c>
      <c r="AP17" s="14">
        <v>1227843091</v>
      </c>
      <c r="AQ17" s="76">
        <v>1926.2799999999997</v>
      </c>
      <c r="AR17" s="14">
        <v>53118</v>
      </c>
      <c r="AS17" s="77">
        <f t="shared" si="5"/>
        <v>21</v>
      </c>
      <c r="AT17" s="37"/>
      <c r="AU17" s="38"/>
    </row>
    <row r="18" spans="1:47" ht="18" customHeight="1">
      <c r="A18" s="65">
        <v>317</v>
      </c>
      <c r="B18" s="68" t="s">
        <v>23</v>
      </c>
      <c r="C18" s="33" t="s">
        <v>24</v>
      </c>
      <c r="D18" s="41"/>
      <c r="E18" s="24">
        <v>606158053</v>
      </c>
      <c r="F18" s="14">
        <v>51264683</v>
      </c>
      <c r="G18" s="14">
        <v>554893370</v>
      </c>
      <c r="H18" s="76">
        <v>857.1099999999999</v>
      </c>
      <c r="I18" s="14">
        <v>53950</v>
      </c>
      <c r="J18" s="77">
        <f t="shared" si="0"/>
        <v>7</v>
      </c>
      <c r="K18" s="432"/>
      <c r="L18" s="24">
        <v>629706623</v>
      </c>
      <c r="M18" s="14">
        <v>58523631</v>
      </c>
      <c r="N18" s="14">
        <v>571182992</v>
      </c>
      <c r="O18" s="76">
        <v>889.81</v>
      </c>
      <c r="P18" s="14">
        <v>53493</v>
      </c>
      <c r="Q18" s="77">
        <f t="shared" si="1"/>
        <v>11</v>
      </c>
      <c r="R18" s="24">
        <v>605006888.00999999</v>
      </c>
      <c r="S18" s="14">
        <v>37593505.009999998</v>
      </c>
      <c r="T18" s="14">
        <v>567413383</v>
      </c>
      <c r="U18" s="76">
        <v>789.01</v>
      </c>
      <c r="V18" s="14">
        <v>59929</v>
      </c>
      <c r="W18" s="77">
        <f t="shared" si="2"/>
        <v>7</v>
      </c>
      <c r="X18" s="37"/>
      <c r="Y18" s="38"/>
      <c r="AA18" s="24">
        <v>618524340</v>
      </c>
      <c r="AB18" s="14">
        <v>44454560</v>
      </c>
      <c r="AC18" s="14">
        <v>574069780</v>
      </c>
      <c r="AD18" s="76">
        <v>858.24</v>
      </c>
      <c r="AE18" s="14">
        <v>55741</v>
      </c>
      <c r="AF18" s="77">
        <f t="shared" si="3"/>
        <v>10</v>
      </c>
      <c r="AG18" s="432"/>
      <c r="AH18" s="24">
        <v>665807860</v>
      </c>
      <c r="AI18" s="14">
        <v>55044689</v>
      </c>
      <c r="AJ18" s="14">
        <v>610763171</v>
      </c>
      <c r="AK18" s="76">
        <v>906.24</v>
      </c>
      <c r="AL18" s="14">
        <v>56163</v>
      </c>
      <c r="AM18" s="77">
        <f t="shared" si="4"/>
        <v>13</v>
      </c>
      <c r="AN18" s="24">
        <v>647865128.99000001</v>
      </c>
      <c r="AO18" s="14">
        <v>43312998.999999985</v>
      </c>
      <c r="AP18" s="14">
        <v>604552129.99000001</v>
      </c>
      <c r="AQ18" s="76">
        <v>794.82999999999993</v>
      </c>
      <c r="AR18" s="14">
        <v>63384</v>
      </c>
      <c r="AS18" s="77">
        <f t="shared" si="5"/>
        <v>8</v>
      </c>
      <c r="AT18" s="37"/>
      <c r="AU18" s="38"/>
    </row>
    <row r="19" spans="1:47" ht="18" customHeight="1">
      <c r="A19" s="65">
        <v>321</v>
      </c>
      <c r="B19" s="68" t="s">
        <v>25</v>
      </c>
      <c r="C19" s="33" t="s">
        <v>26</v>
      </c>
      <c r="D19" s="41"/>
      <c r="E19" s="24">
        <v>0</v>
      </c>
      <c r="F19" s="14">
        <v>0</v>
      </c>
      <c r="G19" s="14">
        <v>0</v>
      </c>
      <c r="H19" s="76">
        <v>0</v>
      </c>
      <c r="I19" s="14">
        <v>0</v>
      </c>
      <c r="J19" s="77">
        <f t="shared" si="0"/>
        <v>34</v>
      </c>
      <c r="K19" s="432"/>
      <c r="L19" s="24">
        <v>0</v>
      </c>
      <c r="M19" s="14">
        <v>0</v>
      </c>
      <c r="N19" s="14">
        <v>0</v>
      </c>
      <c r="O19" s="76">
        <v>0</v>
      </c>
      <c r="P19" s="14">
        <v>0</v>
      </c>
      <c r="Q19" s="77">
        <f t="shared" si="1"/>
        <v>33</v>
      </c>
      <c r="R19" s="24">
        <v>0</v>
      </c>
      <c r="S19" s="14">
        <v>0</v>
      </c>
      <c r="T19" s="14">
        <v>0</v>
      </c>
      <c r="U19" s="76">
        <v>0</v>
      </c>
      <c r="V19" s="14">
        <v>0</v>
      </c>
      <c r="W19" s="77">
        <f t="shared" si="2"/>
        <v>33</v>
      </c>
      <c r="X19" s="37"/>
      <c r="Y19" s="38"/>
      <c r="AA19" s="24">
        <v>0</v>
      </c>
      <c r="AB19" s="14">
        <v>0</v>
      </c>
      <c r="AC19" s="14">
        <v>0</v>
      </c>
      <c r="AD19" s="76">
        <v>0</v>
      </c>
      <c r="AE19" s="14">
        <v>0</v>
      </c>
      <c r="AF19" s="77">
        <f t="shared" si="3"/>
        <v>33</v>
      </c>
      <c r="AG19" s="432"/>
      <c r="AH19" s="24">
        <v>0</v>
      </c>
      <c r="AI19" s="14">
        <v>0</v>
      </c>
      <c r="AJ19" s="14">
        <v>0</v>
      </c>
      <c r="AK19" s="76">
        <v>0</v>
      </c>
      <c r="AL19" s="14">
        <v>0</v>
      </c>
      <c r="AM19" s="77">
        <f t="shared" si="4"/>
        <v>33</v>
      </c>
      <c r="AN19" s="24">
        <v>0</v>
      </c>
      <c r="AO19" s="14">
        <v>0</v>
      </c>
      <c r="AP19" s="14">
        <v>0</v>
      </c>
      <c r="AQ19" s="76">
        <v>0</v>
      </c>
      <c r="AR19" s="14">
        <v>0</v>
      </c>
      <c r="AS19" s="77">
        <f t="shared" si="5"/>
        <v>33</v>
      </c>
      <c r="AT19" s="37"/>
      <c r="AU19" s="38"/>
    </row>
    <row r="20" spans="1:47" ht="18" customHeight="1">
      <c r="A20" s="65">
        <v>322</v>
      </c>
      <c r="B20" s="68" t="s">
        <v>27</v>
      </c>
      <c r="C20" s="33" t="s">
        <v>28</v>
      </c>
      <c r="D20" s="41"/>
      <c r="E20" s="24">
        <v>1111290326</v>
      </c>
      <c r="F20" s="14">
        <v>95425985</v>
      </c>
      <c r="G20" s="14">
        <v>1015864341</v>
      </c>
      <c r="H20" s="76">
        <v>1699.83</v>
      </c>
      <c r="I20" s="14">
        <v>49802</v>
      </c>
      <c r="J20" s="77">
        <f t="shared" si="0"/>
        <v>17</v>
      </c>
      <c r="K20" s="432"/>
      <c r="L20" s="24">
        <v>1160898051</v>
      </c>
      <c r="M20" s="14">
        <v>101215390</v>
      </c>
      <c r="N20" s="14">
        <v>1059682661</v>
      </c>
      <c r="O20" s="76">
        <v>1703.83</v>
      </c>
      <c r="P20" s="14">
        <v>51828</v>
      </c>
      <c r="Q20" s="77">
        <f t="shared" si="1"/>
        <v>16</v>
      </c>
      <c r="R20" s="24">
        <v>1069770962.0799999</v>
      </c>
      <c r="S20" s="14">
        <v>78200207</v>
      </c>
      <c r="T20" s="14">
        <v>991570755.07999992</v>
      </c>
      <c r="U20" s="76">
        <v>1538.1399999999999</v>
      </c>
      <c r="V20" s="14">
        <v>53721</v>
      </c>
      <c r="W20" s="77">
        <f t="shared" si="2"/>
        <v>16</v>
      </c>
      <c r="X20" s="37"/>
      <c r="Y20" s="38"/>
      <c r="AA20" s="24">
        <v>1171046841</v>
      </c>
      <c r="AB20" s="14">
        <v>91511414</v>
      </c>
      <c r="AC20" s="14">
        <v>1079535427</v>
      </c>
      <c r="AD20" s="76">
        <v>1712</v>
      </c>
      <c r="AE20" s="14">
        <v>52547</v>
      </c>
      <c r="AF20" s="77">
        <f t="shared" si="3"/>
        <v>17</v>
      </c>
      <c r="AG20" s="432"/>
      <c r="AH20" s="24">
        <v>1151620554</v>
      </c>
      <c r="AI20" s="14">
        <v>91511414</v>
      </c>
      <c r="AJ20" s="14">
        <v>1060109140</v>
      </c>
      <c r="AK20" s="76">
        <v>1713.5</v>
      </c>
      <c r="AL20" s="14">
        <v>51557</v>
      </c>
      <c r="AM20" s="77">
        <f t="shared" si="4"/>
        <v>18</v>
      </c>
      <c r="AN20" s="24">
        <v>1107112203</v>
      </c>
      <c r="AO20" s="14">
        <v>67445708</v>
      </c>
      <c r="AP20" s="14">
        <v>1039666494.9999999</v>
      </c>
      <c r="AQ20" s="76">
        <v>1555.8799999999999</v>
      </c>
      <c r="AR20" s="14">
        <v>55685</v>
      </c>
      <c r="AS20" s="77">
        <f t="shared" si="5"/>
        <v>18</v>
      </c>
      <c r="AT20" s="37"/>
      <c r="AU20" s="38"/>
    </row>
    <row r="21" spans="1:47" ht="18" customHeight="1">
      <c r="A21" s="65">
        <v>327</v>
      </c>
      <c r="B21" s="68" t="s">
        <v>29</v>
      </c>
      <c r="C21" s="33" t="s">
        <v>30</v>
      </c>
      <c r="D21" s="41"/>
      <c r="E21" s="24">
        <v>601892614</v>
      </c>
      <c r="F21" s="14">
        <v>12684373</v>
      </c>
      <c r="G21" s="14">
        <v>589208241</v>
      </c>
      <c r="H21" s="76">
        <v>929</v>
      </c>
      <c r="I21" s="14">
        <v>52853</v>
      </c>
      <c r="J21" s="77">
        <f t="shared" si="0"/>
        <v>11</v>
      </c>
      <c r="K21" s="432"/>
      <c r="L21" s="24">
        <v>654440980</v>
      </c>
      <c r="M21" s="14">
        <v>13654373</v>
      </c>
      <c r="N21" s="14">
        <v>640786607</v>
      </c>
      <c r="O21" s="76">
        <v>967.5</v>
      </c>
      <c r="P21" s="14">
        <v>55193</v>
      </c>
      <c r="Q21" s="77">
        <f t="shared" si="1"/>
        <v>6</v>
      </c>
      <c r="R21" s="24">
        <v>618454209</v>
      </c>
      <c r="S21" s="14">
        <v>12949794</v>
      </c>
      <c r="T21" s="14">
        <v>605504415</v>
      </c>
      <c r="U21" s="76">
        <v>836.07999999999993</v>
      </c>
      <c r="V21" s="14">
        <v>60352</v>
      </c>
      <c r="W21" s="77">
        <f t="shared" si="2"/>
        <v>6</v>
      </c>
      <c r="X21" s="37"/>
      <c r="Y21" s="38"/>
      <c r="AA21" s="24">
        <v>657521123</v>
      </c>
      <c r="AB21" s="14">
        <v>11938396</v>
      </c>
      <c r="AC21" s="14">
        <v>645582727</v>
      </c>
      <c r="AD21" s="76">
        <v>967</v>
      </c>
      <c r="AE21" s="14">
        <v>55634</v>
      </c>
      <c r="AF21" s="77">
        <f t="shared" si="3"/>
        <v>12</v>
      </c>
      <c r="AG21" s="432"/>
      <c r="AH21" s="24">
        <v>704510653</v>
      </c>
      <c r="AI21" s="14">
        <v>12599656</v>
      </c>
      <c r="AJ21" s="14">
        <v>691910997</v>
      </c>
      <c r="AK21" s="76">
        <v>989.17000000000007</v>
      </c>
      <c r="AL21" s="14">
        <v>58291</v>
      </c>
      <c r="AM21" s="77">
        <f t="shared" si="4"/>
        <v>6</v>
      </c>
      <c r="AN21" s="24">
        <v>706183486</v>
      </c>
      <c r="AO21" s="14">
        <v>14566026</v>
      </c>
      <c r="AP21" s="14">
        <v>691617460</v>
      </c>
      <c r="AQ21" s="76">
        <v>896</v>
      </c>
      <c r="AR21" s="14">
        <v>64325</v>
      </c>
      <c r="AS21" s="77">
        <f t="shared" si="5"/>
        <v>6</v>
      </c>
      <c r="AT21" s="37"/>
      <c r="AU21" s="38"/>
    </row>
    <row r="22" spans="1:47" ht="18" customHeight="1">
      <c r="A22" s="65">
        <v>328</v>
      </c>
      <c r="B22" s="68" t="s">
        <v>87</v>
      </c>
      <c r="C22" s="33" t="s">
        <v>85</v>
      </c>
      <c r="D22" s="41"/>
      <c r="E22" s="24">
        <v>325754280</v>
      </c>
      <c r="F22" s="14">
        <v>14059777</v>
      </c>
      <c r="G22" s="14">
        <v>311694503</v>
      </c>
      <c r="H22" s="76">
        <v>598</v>
      </c>
      <c r="I22" s="14">
        <v>43436</v>
      </c>
      <c r="J22" s="77">
        <f t="shared" si="0"/>
        <v>25</v>
      </c>
      <c r="K22" s="432"/>
      <c r="L22" s="24">
        <v>327329280</v>
      </c>
      <c r="M22" s="14">
        <v>14059777</v>
      </c>
      <c r="N22" s="14">
        <v>313269503</v>
      </c>
      <c r="O22" s="76">
        <v>587</v>
      </c>
      <c r="P22" s="14">
        <v>44473</v>
      </c>
      <c r="Q22" s="77">
        <f t="shared" si="1"/>
        <v>25</v>
      </c>
      <c r="R22" s="24">
        <v>314887703</v>
      </c>
      <c r="S22" s="14">
        <v>10313331</v>
      </c>
      <c r="T22" s="14">
        <v>304574372</v>
      </c>
      <c r="U22" s="76">
        <v>527.54999999999995</v>
      </c>
      <c r="V22" s="14">
        <v>48111</v>
      </c>
      <c r="W22" s="77">
        <f t="shared" si="2"/>
        <v>25</v>
      </c>
      <c r="X22" s="37"/>
      <c r="Y22" s="38"/>
      <c r="AA22" s="24">
        <v>361504405</v>
      </c>
      <c r="AB22" s="14">
        <v>15394177</v>
      </c>
      <c r="AC22" s="14">
        <v>346110228</v>
      </c>
      <c r="AD22" s="76">
        <v>587</v>
      </c>
      <c r="AE22" s="14">
        <v>49135</v>
      </c>
      <c r="AF22" s="77">
        <f t="shared" si="3"/>
        <v>23</v>
      </c>
      <c r="AG22" s="432"/>
      <c r="AH22" s="24">
        <v>361504405</v>
      </c>
      <c r="AI22" s="14">
        <v>15394177</v>
      </c>
      <c r="AJ22" s="14">
        <v>346110228</v>
      </c>
      <c r="AK22" s="76">
        <v>587</v>
      </c>
      <c r="AL22" s="14">
        <v>49135</v>
      </c>
      <c r="AM22" s="77">
        <f t="shared" si="4"/>
        <v>23</v>
      </c>
      <c r="AN22" s="24">
        <v>345236633</v>
      </c>
      <c r="AO22" s="14">
        <v>13667252</v>
      </c>
      <c r="AP22" s="14">
        <v>331569381</v>
      </c>
      <c r="AQ22" s="76">
        <v>523.02</v>
      </c>
      <c r="AR22" s="14">
        <v>52829</v>
      </c>
      <c r="AS22" s="77">
        <f t="shared" si="5"/>
        <v>22</v>
      </c>
      <c r="AT22" s="37"/>
      <c r="AU22" s="38"/>
    </row>
    <row r="23" spans="1:47" ht="18" customHeight="1">
      <c r="A23" s="65">
        <v>329</v>
      </c>
      <c r="B23" s="68" t="s">
        <v>31</v>
      </c>
      <c r="C23" s="33" t="s">
        <v>32</v>
      </c>
      <c r="D23" s="41"/>
      <c r="E23" s="24">
        <v>2551532219</v>
      </c>
      <c r="F23" s="14">
        <v>44399510</v>
      </c>
      <c r="G23" s="14">
        <v>2507132709</v>
      </c>
      <c r="H23" s="76">
        <v>5034.63</v>
      </c>
      <c r="I23" s="14">
        <v>41498</v>
      </c>
      <c r="J23" s="77">
        <f t="shared" si="0"/>
        <v>28</v>
      </c>
      <c r="K23" s="432"/>
      <c r="L23" s="24">
        <v>2632947074</v>
      </c>
      <c r="M23" s="14">
        <v>45814365</v>
      </c>
      <c r="N23" s="14">
        <v>2587132709</v>
      </c>
      <c r="O23" s="76">
        <v>4859.4799999999996</v>
      </c>
      <c r="P23" s="14">
        <v>44366</v>
      </c>
      <c r="Q23" s="77">
        <f t="shared" si="1"/>
        <v>26</v>
      </c>
      <c r="R23" s="24">
        <v>2622058064</v>
      </c>
      <c r="S23" s="14">
        <v>54133901</v>
      </c>
      <c r="T23" s="14">
        <v>2567924163</v>
      </c>
      <c r="U23" s="76">
        <v>4717.1799999999994</v>
      </c>
      <c r="V23" s="14">
        <v>45365</v>
      </c>
      <c r="W23" s="77">
        <f t="shared" si="2"/>
        <v>29</v>
      </c>
      <c r="X23" s="37"/>
      <c r="Y23" s="38"/>
      <c r="AA23" s="24">
        <v>2722653182</v>
      </c>
      <c r="AB23" s="14">
        <v>38620254</v>
      </c>
      <c r="AC23" s="14">
        <v>2684032928</v>
      </c>
      <c r="AD23" s="76">
        <v>4862.6000000000004</v>
      </c>
      <c r="AE23" s="14">
        <v>45998</v>
      </c>
      <c r="AF23" s="77">
        <f t="shared" si="3"/>
        <v>26</v>
      </c>
      <c r="AG23" s="432"/>
      <c r="AH23" s="24">
        <v>2761137820</v>
      </c>
      <c r="AI23" s="14">
        <v>44970254</v>
      </c>
      <c r="AJ23" s="14">
        <v>2716167566</v>
      </c>
      <c r="AK23" s="76">
        <v>4828.3500000000004</v>
      </c>
      <c r="AL23" s="14">
        <v>46879</v>
      </c>
      <c r="AM23" s="77">
        <f t="shared" si="4"/>
        <v>27</v>
      </c>
      <c r="AN23" s="24">
        <v>2763981533</v>
      </c>
      <c r="AO23" s="14">
        <v>40937414</v>
      </c>
      <c r="AP23" s="14">
        <v>2723044119</v>
      </c>
      <c r="AQ23" s="76">
        <v>4663.3600000000006</v>
      </c>
      <c r="AR23" s="14">
        <v>48660</v>
      </c>
      <c r="AS23" s="77">
        <f t="shared" si="5"/>
        <v>28</v>
      </c>
      <c r="AT23" s="37"/>
      <c r="AU23" s="38"/>
    </row>
    <row r="24" spans="1:47" ht="18" customHeight="1">
      <c r="A24" s="65">
        <v>333</v>
      </c>
      <c r="B24" s="68" t="s">
        <v>33</v>
      </c>
      <c r="C24" s="33" t="s">
        <v>34</v>
      </c>
      <c r="D24" s="41"/>
      <c r="E24" s="24">
        <v>1081038291</v>
      </c>
      <c r="F24" s="14">
        <v>99997985</v>
      </c>
      <c r="G24" s="14">
        <v>981040306</v>
      </c>
      <c r="H24" s="76">
        <v>1616.0400000000002</v>
      </c>
      <c r="I24" s="14">
        <v>50589</v>
      </c>
      <c r="J24" s="77">
        <f t="shared" si="0"/>
        <v>16</v>
      </c>
      <c r="K24" s="432"/>
      <c r="L24" s="24">
        <v>1124595691</v>
      </c>
      <c r="M24" s="14">
        <v>99997985</v>
      </c>
      <c r="N24" s="14">
        <v>1024597706</v>
      </c>
      <c r="O24" s="76">
        <v>1565.95</v>
      </c>
      <c r="P24" s="14">
        <v>54525</v>
      </c>
      <c r="Q24" s="77">
        <f t="shared" si="1"/>
        <v>8</v>
      </c>
      <c r="R24" s="24">
        <v>1038037737</v>
      </c>
      <c r="S24" s="14">
        <v>67033771</v>
      </c>
      <c r="T24" s="14">
        <v>971003966</v>
      </c>
      <c r="U24" s="76">
        <v>1434.48</v>
      </c>
      <c r="V24" s="14">
        <v>56409</v>
      </c>
      <c r="W24" s="77">
        <f t="shared" si="2"/>
        <v>12</v>
      </c>
      <c r="X24" s="37"/>
      <c r="Y24" s="38"/>
      <c r="AA24" s="24">
        <v>1138570745</v>
      </c>
      <c r="AB24" s="14">
        <v>91798088</v>
      </c>
      <c r="AC24" s="14">
        <v>1046772657</v>
      </c>
      <c r="AD24" s="76">
        <v>1615.19</v>
      </c>
      <c r="AE24" s="14">
        <v>54007</v>
      </c>
      <c r="AF24" s="77">
        <f t="shared" si="3"/>
        <v>16</v>
      </c>
      <c r="AG24" s="432"/>
      <c r="AH24" s="24">
        <v>1137890631</v>
      </c>
      <c r="AI24" s="14">
        <v>88608177</v>
      </c>
      <c r="AJ24" s="14">
        <v>1049282454</v>
      </c>
      <c r="AK24" s="76">
        <v>1606.8100000000002</v>
      </c>
      <c r="AL24" s="14">
        <v>54419</v>
      </c>
      <c r="AM24" s="77">
        <f t="shared" si="4"/>
        <v>15</v>
      </c>
      <c r="AN24" s="24">
        <v>1106071294</v>
      </c>
      <c r="AO24" s="14">
        <v>66177007</v>
      </c>
      <c r="AP24" s="14">
        <v>1039894287</v>
      </c>
      <c r="AQ24" s="76">
        <v>1480.86</v>
      </c>
      <c r="AR24" s="14">
        <v>58519</v>
      </c>
      <c r="AS24" s="77">
        <f t="shared" si="5"/>
        <v>12</v>
      </c>
      <c r="AT24" s="37"/>
      <c r="AU24" s="38"/>
    </row>
    <row r="25" spans="1:47" ht="18" customHeight="1">
      <c r="A25" s="65">
        <v>334</v>
      </c>
      <c r="B25" s="68" t="s">
        <v>35</v>
      </c>
      <c r="C25" s="33" t="s">
        <v>36</v>
      </c>
      <c r="D25" s="41"/>
      <c r="E25" s="24">
        <v>206355183</v>
      </c>
      <c r="F25" s="14">
        <v>17114419</v>
      </c>
      <c r="G25" s="14">
        <v>189240764</v>
      </c>
      <c r="H25" s="76">
        <v>306</v>
      </c>
      <c r="I25" s="14">
        <v>51536</v>
      </c>
      <c r="J25" s="77">
        <f t="shared" si="0"/>
        <v>13</v>
      </c>
      <c r="K25" s="432"/>
      <c r="L25" s="24">
        <v>211355183</v>
      </c>
      <c r="M25" s="14">
        <v>17114419</v>
      </c>
      <c r="N25" s="14">
        <v>194240764</v>
      </c>
      <c r="O25" s="76">
        <v>298</v>
      </c>
      <c r="P25" s="14">
        <v>54318</v>
      </c>
      <c r="Q25" s="77">
        <f t="shared" si="1"/>
        <v>9</v>
      </c>
      <c r="R25" s="24">
        <v>201231656</v>
      </c>
      <c r="S25" s="14">
        <v>17498896</v>
      </c>
      <c r="T25" s="14">
        <v>183732760</v>
      </c>
      <c r="U25" s="76">
        <v>264.95</v>
      </c>
      <c r="V25" s="14">
        <v>57789</v>
      </c>
      <c r="W25" s="77">
        <f t="shared" si="2"/>
        <v>9</v>
      </c>
      <c r="X25" s="37"/>
      <c r="Y25" s="38"/>
      <c r="AA25" s="24">
        <v>216720321</v>
      </c>
      <c r="AB25" s="14">
        <v>17434819</v>
      </c>
      <c r="AC25" s="14">
        <v>199285502</v>
      </c>
      <c r="AD25" s="76">
        <v>298</v>
      </c>
      <c r="AE25" s="14">
        <v>55729</v>
      </c>
      <c r="AF25" s="77">
        <f t="shared" si="3"/>
        <v>11</v>
      </c>
      <c r="AG25" s="432"/>
      <c r="AH25" s="24">
        <v>222434321</v>
      </c>
      <c r="AI25" s="14">
        <v>18148819</v>
      </c>
      <c r="AJ25" s="14">
        <v>204285502</v>
      </c>
      <c r="AK25" s="76">
        <v>298</v>
      </c>
      <c r="AL25" s="14">
        <v>57127</v>
      </c>
      <c r="AM25" s="77">
        <f t="shared" si="4"/>
        <v>10</v>
      </c>
      <c r="AN25" s="24">
        <v>205779440</v>
      </c>
      <c r="AO25" s="14">
        <v>17450467</v>
      </c>
      <c r="AP25" s="14">
        <v>188328973</v>
      </c>
      <c r="AQ25" s="76">
        <v>267.37</v>
      </c>
      <c r="AR25" s="14">
        <v>58698</v>
      </c>
      <c r="AS25" s="77">
        <f t="shared" si="5"/>
        <v>11</v>
      </c>
      <c r="AT25" s="37"/>
      <c r="AU25" s="38"/>
    </row>
    <row r="26" spans="1:47" ht="18" customHeight="1">
      <c r="A26" s="65">
        <v>335</v>
      </c>
      <c r="B26" s="68" t="s">
        <v>37</v>
      </c>
      <c r="C26" s="33" t="s">
        <v>38</v>
      </c>
      <c r="D26" s="41"/>
      <c r="E26" s="24">
        <v>1487680541</v>
      </c>
      <c r="F26" s="14">
        <v>53743116</v>
      </c>
      <c r="G26" s="14">
        <v>1433937425</v>
      </c>
      <c r="H26" s="76">
        <v>2930.6099999999997</v>
      </c>
      <c r="I26" s="14">
        <v>40775</v>
      </c>
      <c r="J26" s="77">
        <f t="shared" si="0"/>
        <v>30</v>
      </c>
      <c r="K26" s="432"/>
      <c r="L26" s="24">
        <v>1484530297</v>
      </c>
      <c r="M26" s="14">
        <v>53743116</v>
      </c>
      <c r="N26" s="14">
        <v>1430787181</v>
      </c>
      <c r="O26" s="76">
        <v>2916</v>
      </c>
      <c r="P26" s="14">
        <v>40889</v>
      </c>
      <c r="Q26" s="77">
        <f t="shared" si="1"/>
        <v>29</v>
      </c>
      <c r="R26" s="24">
        <v>1768246298.55</v>
      </c>
      <c r="S26" s="14">
        <v>66047235.000000007</v>
      </c>
      <c r="T26" s="14">
        <v>1702199063.55</v>
      </c>
      <c r="U26" s="76">
        <v>2940.04</v>
      </c>
      <c r="V26" s="14">
        <v>48248</v>
      </c>
      <c r="W26" s="77">
        <f t="shared" si="2"/>
        <v>24</v>
      </c>
      <c r="X26" s="37"/>
      <c r="Y26" s="38"/>
      <c r="AA26" s="24">
        <v>1597152907</v>
      </c>
      <c r="AB26" s="14">
        <v>58949066</v>
      </c>
      <c r="AC26" s="14">
        <v>1538203841</v>
      </c>
      <c r="AD26" s="76">
        <v>2917.2099999999996</v>
      </c>
      <c r="AE26" s="14">
        <v>43940</v>
      </c>
      <c r="AF26" s="77">
        <f t="shared" si="3"/>
        <v>28</v>
      </c>
      <c r="AG26" s="432"/>
      <c r="AH26" s="24">
        <v>1568999682</v>
      </c>
      <c r="AI26" s="14">
        <v>58949066</v>
      </c>
      <c r="AJ26" s="14">
        <v>1510050616</v>
      </c>
      <c r="AK26" s="76">
        <v>2914.49</v>
      </c>
      <c r="AL26" s="14">
        <v>43177</v>
      </c>
      <c r="AM26" s="77">
        <f t="shared" si="4"/>
        <v>28</v>
      </c>
      <c r="AN26" s="24">
        <v>1878066337.8699999</v>
      </c>
      <c r="AO26" s="14">
        <v>80363519</v>
      </c>
      <c r="AP26" s="14">
        <v>1797702818.8699999</v>
      </c>
      <c r="AQ26" s="76">
        <v>2940.17</v>
      </c>
      <c r="AR26" s="14">
        <v>50952</v>
      </c>
      <c r="AS26" s="77">
        <f t="shared" si="5"/>
        <v>26</v>
      </c>
      <c r="AT26" s="37"/>
      <c r="AU26" s="38"/>
    </row>
    <row r="27" spans="1:47" ht="18" customHeight="1">
      <c r="A27" s="65">
        <v>336</v>
      </c>
      <c r="B27" s="68" t="s">
        <v>39</v>
      </c>
      <c r="C27" s="33" t="s">
        <v>40</v>
      </c>
      <c r="D27" s="41"/>
      <c r="E27" s="24">
        <v>19516339497</v>
      </c>
      <c r="F27" s="14">
        <v>6332766882</v>
      </c>
      <c r="G27" s="14">
        <v>13183572615</v>
      </c>
      <c r="H27" s="76">
        <v>24690.33</v>
      </c>
      <c r="I27" s="14">
        <v>44496</v>
      </c>
      <c r="J27" s="77">
        <f t="shared" si="0"/>
        <v>23</v>
      </c>
      <c r="K27" s="432"/>
      <c r="L27" s="24">
        <v>20249979316</v>
      </c>
      <c r="M27" s="14">
        <v>6654313440</v>
      </c>
      <c r="N27" s="14">
        <v>13595665876</v>
      </c>
      <c r="O27" s="76">
        <v>24254.99</v>
      </c>
      <c r="P27" s="14">
        <v>46711</v>
      </c>
      <c r="Q27" s="77">
        <f t="shared" si="1"/>
        <v>21</v>
      </c>
      <c r="R27" s="24">
        <v>20179658714.470001</v>
      </c>
      <c r="S27" s="14">
        <v>6703418246.9099998</v>
      </c>
      <c r="T27" s="14">
        <v>13476240467.559999</v>
      </c>
      <c r="U27" s="76">
        <v>22833.42</v>
      </c>
      <c r="V27" s="14">
        <v>49183</v>
      </c>
      <c r="W27" s="77">
        <f t="shared" si="2"/>
        <v>21</v>
      </c>
      <c r="X27" s="37"/>
      <c r="Y27" s="38"/>
      <c r="AA27" s="24">
        <v>21588576275</v>
      </c>
      <c r="AB27" s="14">
        <v>6795879863</v>
      </c>
      <c r="AC27" s="14">
        <v>14792696412</v>
      </c>
      <c r="AD27" s="76">
        <v>24276.75</v>
      </c>
      <c r="AE27" s="14">
        <v>50778</v>
      </c>
      <c r="AF27" s="77">
        <f t="shared" si="3"/>
        <v>20</v>
      </c>
      <c r="AG27" s="432"/>
      <c r="AH27" s="24">
        <v>21828758201</v>
      </c>
      <c r="AI27" s="14">
        <v>7179998290</v>
      </c>
      <c r="AJ27" s="14">
        <v>14648759911</v>
      </c>
      <c r="AK27" s="76">
        <v>24009.58</v>
      </c>
      <c r="AL27" s="14">
        <v>50843</v>
      </c>
      <c r="AM27" s="77">
        <f t="shared" si="4"/>
        <v>19</v>
      </c>
      <c r="AN27" s="24">
        <v>21769516407.410004</v>
      </c>
      <c r="AO27" s="14">
        <v>7195116126.4000015</v>
      </c>
      <c r="AP27" s="14">
        <v>14574400281.01</v>
      </c>
      <c r="AQ27" s="76">
        <v>22505.25</v>
      </c>
      <c r="AR27" s="14">
        <v>53967</v>
      </c>
      <c r="AS27" s="77">
        <f t="shared" si="5"/>
        <v>20</v>
      </c>
      <c r="AT27" s="37"/>
      <c r="AU27" s="38"/>
    </row>
    <row r="28" spans="1:47" ht="18" customHeight="1">
      <c r="A28" s="65">
        <v>343</v>
      </c>
      <c r="B28" s="68" t="s">
        <v>83</v>
      </c>
      <c r="C28" s="33" t="s">
        <v>92</v>
      </c>
      <c r="D28" s="41"/>
      <c r="E28" s="24">
        <v>73406787</v>
      </c>
      <c r="F28" s="14">
        <v>1890912</v>
      </c>
      <c r="G28" s="14">
        <v>71515875</v>
      </c>
      <c r="H28" s="76">
        <v>114</v>
      </c>
      <c r="I28" s="14">
        <v>52278</v>
      </c>
      <c r="J28" s="77">
        <f t="shared" si="0"/>
        <v>12</v>
      </c>
      <c r="K28" s="432"/>
      <c r="L28" s="24">
        <v>74027055</v>
      </c>
      <c r="M28" s="14">
        <v>1890912</v>
      </c>
      <c r="N28" s="14">
        <v>72136143</v>
      </c>
      <c r="O28" s="76">
        <v>114.5</v>
      </c>
      <c r="P28" s="14">
        <v>52501</v>
      </c>
      <c r="Q28" s="77">
        <f t="shared" si="1"/>
        <v>15</v>
      </c>
      <c r="R28" s="24">
        <v>71692221</v>
      </c>
      <c r="S28" s="14">
        <v>1580535</v>
      </c>
      <c r="T28" s="14">
        <v>70111686</v>
      </c>
      <c r="U28" s="76">
        <v>105.63000000000001</v>
      </c>
      <c r="V28" s="14">
        <v>55312</v>
      </c>
      <c r="W28" s="77">
        <f t="shared" si="2"/>
        <v>15</v>
      </c>
      <c r="X28" s="37"/>
      <c r="Y28" s="38"/>
      <c r="AA28" s="24">
        <v>80134186</v>
      </c>
      <c r="AB28" s="14">
        <v>1890912</v>
      </c>
      <c r="AC28" s="14">
        <v>78243274</v>
      </c>
      <c r="AD28" s="76">
        <v>118</v>
      </c>
      <c r="AE28" s="14">
        <v>55257</v>
      </c>
      <c r="AF28" s="77">
        <f t="shared" si="3"/>
        <v>13</v>
      </c>
      <c r="AG28" s="432"/>
      <c r="AH28" s="24">
        <v>78136276</v>
      </c>
      <c r="AI28" s="14">
        <v>1890912</v>
      </c>
      <c r="AJ28" s="14">
        <v>76245364</v>
      </c>
      <c r="AK28" s="76">
        <v>118</v>
      </c>
      <c r="AL28" s="14">
        <v>53846</v>
      </c>
      <c r="AM28" s="77">
        <f t="shared" si="4"/>
        <v>16</v>
      </c>
      <c r="AN28" s="24">
        <v>75964798</v>
      </c>
      <c r="AO28" s="14">
        <v>1539283</v>
      </c>
      <c r="AP28" s="14">
        <v>74425515</v>
      </c>
      <c r="AQ28" s="76">
        <v>106.24000000000001</v>
      </c>
      <c r="AR28" s="14">
        <v>58378</v>
      </c>
      <c r="AS28" s="77">
        <f t="shared" si="5"/>
        <v>13</v>
      </c>
      <c r="AT28" s="37"/>
      <c r="AU28" s="38"/>
    </row>
    <row r="29" spans="1:47" ht="18" customHeight="1">
      <c r="A29" s="65">
        <v>344</v>
      </c>
      <c r="B29" s="68" t="s">
        <v>41</v>
      </c>
      <c r="C29" s="33" t="s">
        <v>42</v>
      </c>
      <c r="D29" s="41"/>
      <c r="E29" s="24">
        <v>118985529</v>
      </c>
      <c r="F29" s="14">
        <v>864182</v>
      </c>
      <c r="G29" s="14">
        <v>118121347</v>
      </c>
      <c r="H29" s="76">
        <v>212</v>
      </c>
      <c r="I29" s="14">
        <v>46431</v>
      </c>
      <c r="J29" s="77">
        <f t="shared" si="0"/>
        <v>20</v>
      </c>
      <c r="K29" s="432"/>
      <c r="L29" s="24">
        <v>118985529</v>
      </c>
      <c r="M29" s="14">
        <v>864182</v>
      </c>
      <c r="N29" s="14">
        <v>118121347</v>
      </c>
      <c r="O29" s="76">
        <v>207</v>
      </c>
      <c r="P29" s="14">
        <v>47553</v>
      </c>
      <c r="Q29" s="77">
        <f t="shared" si="1"/>
        <v>19</v>
      </c>
      <c r="R29" s="24">
        <v>115636976</v>
      </c>
      <c r="S29" s="14">
        <v>864067</v>
      </c>
      <c r="T29" s="14">
        <v>114772909</v>
      </c>
      <c r="U29" s="76">
        <v>190.45999999999998</v>
      </c>
      <c r="V29" s="14">
        <v>50217</v>
      </c>
      <c r="W29" s="77">
        <f t="shared" si="2"/>
        <v>19</v>
      </c>
      <c r="X29" s="37"/>
      <c r="Y29" s="38"/>
      <c r="AA29" s="24">
        <v>129984417</v>
      </c>
      <c r="AB29" s="14">
        <v>864182</v>
      </c>
      <c r="AC29" s="14">
        <v>129120235</v>
      </c>
      <c r="AD29" s="76">
        <v>207</v>
      </c>
      <c r="AE29" s="14">
        <v>51981</v>
      </c>
      <c r="AF29" s="77">
        <f t="shared" si="3"/>
        <v>18</v>
      </c>
      <c r="AG29" s="432"/>
      <c r="AH29" s="24">
        <v>129984417</v>
      </c>
      <c r="AI29" s="14">
        <v>864182</v>
      </c>
      <c r="AJ29" s="14">
        <v>129120235</v>
      </c>
      <c r="AK29" s="76">
        <v>207</v>
      </c>
      <c r="AL29" s="14">
        <v>51981</v>
      </c>
      <c r="AM29" s="77">
        <f t="shared" si="4"/>
        <v>17</v>
      </c>
      <c r="AN29" s="24">
        <v>125879532</v>
      </c>
      <c r="AO29" s="14">
        <v>842434</v>
      </c>
      <c r="AP29" s="14">
        <v>125037098</v>
      </c>
      <c r="AQ29" s="76">
        <v>187.65</v>
      </c>
      <c r="AR29" s="14">
        <v>55528</v>
      </c>
      <c r="AS29" s="77">
        <f t="shared" si="5"/>
        <v>19</v>
      </c>
      <c r="AT29" s="37"/>
      <c r="AU29" s="38"/>
    </row>
    <row r="30" spans="1:47" ht="18" customHeight="1">
      <c r="A30" s="65">
        <v>345</v>
      </c>
      <c r="B30" s="68" t="s">
        <v>43</v>
      </c>
      <c r="C30" s="33" t="s">
        <v>44</v>
      </c>
      <c r="D30" s="41"/>
      <c r="E30" s="24">
        <v>676274150</v>
      </c>
      <c r="F30" s="14">
        <v>30160470</v>
      </c>
      <c r="G30" s="14">
        <v>646113680</v>
      </c>
      <c r="H30" s="76">
        <v>1263</v>
      </c>
      <c r="I30" s="14">
        <v>42631</v>
      </c>
      <c r="J30" s="77">
        <f t="shared" si="0"/>
        <v>26</v>
      </c>
      <c r="K30" s="432"/>
      <c r="L30" s="24">
        <v>744089173</v>
      </c>
      <c r="M30" s="14">
        <v>46876470</v>
      </c>
      <c r="N30" s="14">
        <v>697212703</v>
      </c>
      <c r="O30" s="76">
        <v>1264.67</v>
      </c>
      <c r="P30" s="14">
        <v>45942</v>
      </c>
      <c r="Q30" s="77">
        <f t="shared" si="1"/>
        <v>23</v>
      </c>
      <c r="R30" s="24">
        <v>759026215</v>
      </c>
      <c r="S30" s="14">
        <v>48416700</v>
      </c>
      <c r="T30" s="14">
        <v>710609515</v>
      </c>
      <c r="U30" s="76">
        <v>1238.8699999999999</v>
      </c>
      <c r="V30" s="14">
        <v>47800</v>
      </c>
      <c r="W30" s="77">
        <f t="shared" si="2"/>
        <v>26</v>
      </c>
      <c r="X30" s="37"/>
      <c r="Y30" s="38"/>
      <c r="AA30" s="24">
        <v>712000842</v>
      </c>
      <c r="AB30" s="14">
        <v>31672000</v>
      </c>
      <c r="AC30" s="14">
        <v>680328842</v>
      </c>
      <c r="AD30" s="76">
        <v>1262</v>
      </c>
      <c r="AE30" s="14">
        <v>44924</v>
      </c>
      <c r="AF30" s="77">
        <f t="shared" si="3"/>
        <v>27</v>
      </c>
      <c r="AG30" s="432"/>
      <c r="AH30" s="24">
        <v>756632704</v>
      </c>
      <c r="AI30" s="14">
        <v>27744654</v>
      </c>
      <c r="AJ30" s="14">
        <v>728888050</v>
      </c>
      <c r="AK30" s="76">
        <v>1252.25</v>
      </c>
      <c r="AL30" s="14">
        <v>48505</v>
      </c>
      <c r="AM30" s="77">
        <f t="shared" si="4"/>
        <v>24</v>
      </c>
      <c r="AN30" s="24">
        <v>762960812</v>
      </c>
      <c r="AO30" s="14">
        <v>34644496</v>
      </c>
      <c r="AP30" s="14">
        <v>728316316</v>
      </c>
      <c r="AQ30" s="76">
        <v>1222.3899999999999</v>
      </c>
      <c r="AR30" s="14">
        <v>49651</v>
      </c>
      <c r="AS30" s="77">
        <f t="shared" si="5"/>
        <v>27</v>
      </c>
      <c r="AT30" s="37"/>
      <c r="AU30" s="38"/>
    </row>
    <row r="31" spans="1:47" ht="18" customHeight="1">
      <c r="A31" s="65">
        <v>346</v>
      </c>
      <c r="B31" s="68" t="s">
        <v>45</v>
      </c>
      <c r="C31" s="33" t="s">
        <v>46</v>
      </c>
      <c r="D31" s="41"/>
      <c r="E31" s="24">
        <v>2153653417</v>
      </c>
      <c r="F31" s="14">
        <v>3392909</v>
      </c>
      <c r="G31" s="14">
        <v>2150260508</v>
      </c>
      <c r="H31" s="76">
        <v>4889</v>
      </c>
      <c r="I31" s="14">
        <v>36651</v>
      </c>
      <c r="J31" s="77">
        <f t="shared" si="0"/>
        <v>31</v>
      </c>
      <c r="K31" s="432"/>
      <c r="L31" s="24">
        <v>2198163787</v>
      </c>
      <c r="M31" s="14">
        <v>4520729</v>
      </c>
      <c r="N31" s="14">
        <v>2193643058</v>
      </c>
      <c r="O31" s="76">
        <v>4886</v>
      </c>
      <c r="P31" s="14">
        <v>37414</v>
      </c>
      <c r="Q31" s="77">
        <f t="shared" si="1"/>
        <v>31</v>
      </c>
      <c r="R31" s="24">
        <v>2179123156</v>
      </c>
      <c r="S31" s="14">
        <v>4420328</v>
      </c>
      <c r="T31" s="14">
        <v>2174702828</v>
      </c>
      <c r="U31" s="76">
        <v>4657.3</v>
      </c>
      <c r="V31" s="14">
        <v>38912</v>
      </c>
      <c r="W31" s="77">
        <f t="shared" si="2"/>
        <v>31</v>
      </c>
      <c r="X31" s="37"/>
      <c r="Y31" s="38"/>
      <c r="AA31" s="24">
        <v>2486953252</v>
      </c>
      <c r="AB31" s="14">
        <v>3331909</v>
      </c>
      <c r="AC31" s="14">
        <v>2483621343</v>
      </c>
      <c r="AD31" s="76">
        <v>4848</v>
      </c>
      <c r="AE31" s="14">
        <v>42692</v>
      </c>
      <c r="AF31" s="77">
        <f t="shared" si="3"/>
        <v>30</v>
      </c>
      <c r="AG31" s="432"/>
      <c r="AH31" s="24">
        <v>2472116466</v>
      </c>
      <c r="AI31" s="14">
        <v>4170129</v>
      </c>
      <c r="AJ31" s="14">
        <v>2467946337</v>
      </c>
      <c r="AK31" s="76">
        <v>4848</v>
      </c>
      <c r="AL31" s="14">
        <v>42422</v>
      </c>
      <c r="AM31" s="77">
        <f t="shared" si="4"/>
        <v>30</v>
      </c>
      <c r="AN31" s="24">
        <v>2467872649</v>
      </c>
      <c r="AO31" s="14">
        <v>5050307</v>
      </c>
      <c r="AP31" s="14">
        <v>2462822342</v>
      </c>
      <c r="AQ31" s="76">
        <v>4611.8100000000004</v>
      </c>
      <c r="AR31" s="14">
        <v>44502</v>
      </c>
      <c r="AS31" s="77">
        <f t="shared" si="5"/>
        <v>30</v>
      </c>
      <c r="AT31" s="37"/>
      <c r="AU31" s="38"/>
    </row>
    <row r="32" spans="1:47" ht="18" customHeight="1">
      <c r="A32" s="65">
        <v>348</v>
      </c>
      <c r="B32" s="68" t="s">
        <v>47</v>
      </c>
      <c r="C32" s="33" t="s">
        <v>93</v>
      </c>
      <c r="D32" s="41"/>
      <c r="E32" s="24">
        <v>113154726</v>
      </c>
      <c r="F32" s="14">
        <v>93813</v>
      </c>
      <c r="G32" s="14">
        <v>113060913</v>
      </c>
      <c r="H32" s="76">
        <v>185</v>
      </c>
      <c r="I32" s="14">
        <v>50928</v>
      </c>
      <c r="J32" s="77">
        <f t="shared" si="0"/>
        <v>15</v>
      </c>
      <c r="K32" s="432"/>
      <c r="L32" s="24">
        <v>113154726</v>
      </c>
      <c r="M32" s="14">
        <v>93813</v>
      </c>
      <c r="N32" s="14">
        <v>113060913</v>
      </c>
      <c r="O32" s="76">
        <v>184.5</v>
      </c>
      <c r="P32" s="14">
        <v>51066</v>
      </c>
      <c r="Q32" s="77">
        <f t="shared" si="1"/>
        <v>17</v>
      </c>
      <c r="R32" s="24">
        <v>112488696</v>
      </c>
      <c r="S32" s="14">
        <v>36800</v>
      </c>
      <c r="T32" s="14">
        <v>112451896</v>
      </c>
      <c r="U32" s="76">
        <v>176.7</v>
      </c>
      <c r="V32" s="14">
        <v>53033</v>
      </c>
      <c r="W32" s="77">
        <f t="shared" si="2"/>
        <v>17</v>
      </c>
      <c r="X32" s="37"/>
      <c r="Y32" s="38"/>
      <c r="AA32" s="24">
        <v>120365636</v>
      </c>
      <c r="AB32" s="14">
        <v>93813</v>
      </c>
      <c r="AC32" s="14">
        <v>120271823</v>
      </c>
      <c r="AD32" s="76">
        <v>184</v>
      </c>
      <c r="AE32" s="14">
        <v>54471</v>
      </c>
      <c r="AF32" s="77">
        <f t="shared" si="3"/>
        <v>14</v>
      </c>
      <c r="AG32" s="432"/>
      <c r="AH32" s="24">
        <v>120365636</v>
      </c>
      <c r="AI32" s="14">
        <v>93813</v>
      </c>
      <c r="AJ32" s="14">
        <v>120271823</v>
      </c>
      <c r="AK32" s="76">
        <v>183.92</v>
      </c>
      <c r="AL32" s="14">
        <v>54495</v>
      </c>
      <c r="AM32" s="77">
        <f t="shared" si="4"/>
        <v>14</v>
      </c>
      <c r="AN32" s="24">
        <v>119308387</v>
      </c>
      <c r="AO32" s="14">
        <v>62668</v>
      </c>
      <c r="AP32" s="14">
        <v>119245719</v>
      </c>
      <c r="AQ32" s="76">
        <v>176.58</v>
      </c>
      <c r="AR32" s="14">
        <v>56276</v>
      </c>
      <c r="AS32" s="77">
        <f t="shared" si="5"/>
        <v>16</v>
      </c>
      <c r="AT32" s="37"/>
      <c r="AU32" s="38"/>
    </row>
    <row r="33" spans="1:47" ht="18" customHeight="1">
      <c r="A33" s="65">
        <v>349</v>
      </c>
      <c r="B33" s="68" t="s">
        <v>88</v>
      </c>
      <c r="C33" s="33" t="s">
        <v>89</v>
      </c>
      <c r="D33" s="41"/>
      <c r="E33" s="24">
        <v>184105106</v>
      </c>
      <c r="F33" s="14">
        <v>2315524</v>
      </c>
      <c r="G33" s="14">
        <v>181789582</v>
      </c>
      <c r="H33" s="76">
        <v>279</v>
      </c>
      <c r="I33" s="14">
        <v>54298</v>
      </c>
      <c r="J33" s="77">
        <f t="shared" si="0"/>
        <v>6</v>
      </c>
      <c r="K33" s="432"/>
      <c r="L33" s="24">
        <v>184993586</v>
      </c>
      <c r="M33" s="14">
        <v>2315524</v>
      </c>
      <c r="N33" s="14">
        <v>182678062</v>
      </c>
      <c r="O33" s="76">
        <v>279</v>
      </c>
      <c r="P33" s="14">
        <v>54563</v>
      </c>
      <c r="Q33" s="77">
        <f t="shared" si="1"/>
        <v>7</v>
      </c>
      <c r="R33" s="24">
        <v>175771645</v>
      </c>
      <c r="S33" s="14">
        <v>2727179</v>
      </c>
      <c r="T33" s="14">
        <v>173044466</v>
      </c>
      <c r="U33" s="76">
        <v>249.11</v>
      </c>
      <c r="V33" s="14">
        <v>57888</v>
      </c>
      <c r="W33" s="77">
        <f t="shared" si="2"/>
        <v>8</v>
      </c>
      <c r="X33" s="37"/>
      <c r="Y33" s="38"/>
      <c r="AA33" s="24">
        <v>200583936</v>
      </c>
      <c r="AB33" s="14">
        <v>2315524</v>
      </c>
      <c r="AC33" s="14">
        <v>198268412</v>
      </c>
      <c r="AD33" s="76">
        <v>284</v>
      </c>
      <c r="AE33" s="14">
        <v>58177</v>
      </c>
      <c r="AF33" s="77">
        <f t="shared" si="3"/>
        <v>5</v>
      </c>
      <c r="AG33" s="432"/>
      <c r="AH33" s="24">
        <v>198057976</v>
      </c>
      <c r="AI33" s="14">
        <v>2115524</v>
      </c>
      <c r="AJ33" s="14">
        <v>195942452</v>
      </c>
      <c r="AK33" s="76">
        <v>284</v>
      </c>
      <c r="AL33" s="14">
        <v>57495</v>
      </c>
      <c r="AM33" s="77">
        <f t="shared" si="4"/>
        <v>8</v>
      </c>
      <c r="AN33" s="24">
        <v>187500869</v>
      </c>
      <c r="AO33" s="14">
        <v>2854875</v>
      </c>
      <c r="AP33" s="14">
        <v>184645994</v>
      </c>
      <c r="AQ33" s="76">
        <v>254.63</v>
      </c>
      <c r="AR33" s="14">
        <v>60430</v>
      </c>
      <c r="AS33" s="77">
        <f t="shared" si="5"/>
        <v>9</v>
      </c>
      <c r="AT33" s="37"/>
      <c r="AU33" s="38"/>
    </row>
    <row r="34" spans="1:47" ht="18" customHeight="1">
      <c r="A34" s="65">
        <v>353</v>
      </c>
      <c r="B34" s="68" t="s">
        <v>48</v>
      </c>
      <c r="C34" s="33" t="s">
        <v>49</v>
      </c>
      <c r="D34" s="41"/>
      <c r="E34" s="24">
        <v>149999083</v>
      </c>
      <c r="F34" s="14">
        <v>2003182</v>
      </c>
      <c r="G34" s="14">
        <v>147995901</v>
      </c>
      <c r="H34" s="76">
        <v>241</v>
      </c>
      <c r="I34" s="14">
        <v>51174</v>
      </c>
      <c r="J34" s="77">
        <f t="shared" si="0"/>
        <v>14</v>
      </c>
      <c r="K34" s="432"/>
      <c r="L34" s="24">
        <v>165377206</v>
      </c>
      <c r="M34" s="14">
        <v>2303182</v>
      </c>
      <c r="N34" s="14">
        <v>163074024</v>
      </c>
      <c r="O34" s="76">
        <v>257</v>
      </c>
      <c r="P34" s="14">
        <v>52877</v>
      </c>
      <c r="Q34" s="77">
        <f t="shared" si="1"/>
        <v>13</v>
      </c>
      <c r="R34" s="24">
        <v>171563955</v>
      </c>
      <c r="S34" s="14">
        <v>2918870</v>
      </c>
      <c r="T34" s="14">
        <v>168645085</v>
      </c>
      <c r="U34" s="76">
        <v>250.21</v>
      </c>
      <c r="V34" s="14">
        <v>56168</v>
      </c>
      <c r="W34" s="77">
        <f t="shared" si="2"/>
        <v>13</v>
      </c>
      <c r="X34" s="37"/>
      <c r="Y34" s="38"/>
      <c r="AA34" s="24">
        <v>179277163</v>
      </c>
      <c r="AB34" s="14">
        <v>2303182</v>
      </c>
      <c r="AC34" s="14">
        <v>176973981</v>
      </c>
      <c r="AD34" s="76">
        <v>262</v>
      </c>
      <c r="AE34" s="14">
        <v>56289</v>
      </c>
      <c r="AF34" s="77">
        <f t="shared" si="3"/>
        <v>7</v>
      </c>
      <c r="AG34" s="432"/>
      <c r="AH34" s="24">
        <v>181206803</v>
      </c>
      <c r="AI34" s="14">
        <v>3235382</v>
      </c>
      <c r="AJ34" s="14">
        <v>177971421</v>
      </c>
      <c r="AK34" s="76">
        <v>262</v>
      </c>
      <c r="AL34" s="14">
        <v>56607</v>
      </c>
      <c r="AM34" s="77">
        <f t="shared" si="4"/>
        <v>11</v>
      </c>
      <c r="AN34" s="24">
        <v>178842968</v>
      </c>
      <c r="AO34" s="14">
        <v>2897179</v>
      </c>
      <c r="AP34" s="14">
        <v>175945789</v>
      </c>
      <c r="AQ34" s="76">
        <v>246.5</v>
      </c>
      <c r="AR34" s="14">
        <v>59481</v>
      </c>
      <c r="AS34" s="77">
        <f t="shared" si="5"/>
        <v>10</v>
      </c>
      <c r="AT34" s="37"/>
      <c r="AU34" s="38"/>
    </row>
    <row r="35" spans="1:47" ht="18" customHeight="1">
      <c r="A35" s="65">
        <v>355</v>
      </c>
      <c r="B35" s="68" t="s">
        <v>100</v>
      </c>
      <c r="C35" s="33" t="s">
        <v>202</v>
      </c>
      <c r="D35" s="41"/>
      <c r="E35" s="24">
        <v>56572642</v>
      </c>
      <c r="F35" s="14">
        <v>303513</v>
      </c>
      <c r="G35" s="14">
        <v>56269129</v>
      </c>
      <c r="H35" s="76">
        <v>145</v>
      </c>
      <c r="I35" s="14">
        <v>32339</v>
      </c>
      <c r="J35" s="77">
        <f t="shared" si="0"/>
        <v>33</v>
      </c>
      <c r="K35" s="432"/>
      <c r="L35" s="24">
        <v>61089703</v>
      </c>
      <c r="M35" s="14">
        <v>1873353</v>
      </c>
      <c r="N35" s="14">
        <v>59216350</v>
      </c>
      <c r="O35" s="76">
        <v>146</v>
      </c>
      <c r="P35" s="14">
        <v>33799</v>
      </c>
      <c r="Q35" s="77">
        <f t="shared" si="1"/>
        <v>32</v>
      </c>
      <c r="R35" s="24">
        <v>60321846</v>
      </c>
      <c r="S35" s="14">
        <v>1379560</v>
      </c>
      <c r="T35" s="14">
        <v>58942286</v>
      </c>
      <c r="U35" s="76">
        <v>132.49</v>
      </c>
      <c r="V35" s="14">
        <v>37073</v>
      </c>
      <c r="W35" s="77">
        <f t="shared" si="2"/>
        <v>32</v>
      </c>
      <c r="X35" s="37"/>
      <c r="Y35" s="38"/>
      <c r="AA35" s="24">
        <v>63296679</v>
      </c>
      <c r="AB35" s="14">
        <v>303513</v>
      </c>
      <c r="AC35" s="14">
        <v>62993166</v>
      </c>
      <c r="AD35" s="76">
        <v>147</v>
      </c>
      <c r="AE35" s="14">
        <v>35710</v>
      </c>
      <c r="AF35" s="77">
        <f t="shared" si="3"/>
        <v>32</v>
      </c>
      <c r="AG35" s="432"/>
      <c r="AH35" s="24">
        <v>63296679</v>
      </c>
      <c r="AI35" s="14">
        <v>303513</v>
      </c>
      <c r="AJ35" s="14">
        <v>62993166</v>
      </c>
      <c r="AK35" s="76">
        <v>147</v>
      </c>
      <c r="AL35" s="14">
        <v>35710</v>
      </c>
      <c r="AM35" s="77">
        <f t="shared" si="4"/>
        <v>32</v>
      </c>
      <c r="AN35" s="24">
        <v>62552123</v>
      </c>
      <c r="AO35" s="14">
        <v>326768</v>
      </c>
      <c r="AP35" s="14">
        <v>62225355</v>
      </c>
      <c r="AQ35" s="76">
        <v>133.63</v>
      </c>
      <c r="AR35" s="14">
        <v>38805</v>
      </c>
      <c r="AS35" s="77">
        <f t="shared" si="5"/>
        <v>32</v>
      </c>
      <c r="AT35" s="37"/>
      <c r="AU35" s="38"/>
    </row>
    <row r="36" spans="1:47" ht="18" customHeight="1">
      <c r="A36" s="65">
        <v>358</v>
      </c>
      <c r="B36" s="68" t="s">
        <v>50</v>
      </c>
      <c r="C36" s="33" t="s">
        <v>51</v>
      </c>
      <c r="D36" s="41"/>
      <c r="E36" s="24">
        <v>0</v>
      </c>
      <c r="F36" s="14">
        <v>0</v>
      </c>
      <c r="G36" s="14">
        <v>0</v>
      </c>
      <c r="H36" s="76">
        <v>0</v>
      </c>
      <c r="I36" s="14">
        <v>0</v>
      </c>
      <c r="J36" s="77">
        <f t="shared" si="0"/>
        <v>34</v>
      </c>
      <c r="K36" s="432"/>
      <c r="L36" s="24">
        <v>0</v>
      </c>
      <c r="M36" s="14">
        <v>0</v>
      </c>
      <c r="N36" s="14">
        <v>0</v>
      </c>
      <c r="O36" s="76">
        <v>0</v>
      </c>
      <c r="P36" s="14">
        <v>0</v>
      </c>
      <c r="Q36" s="77">
        <f t="shared" si="1"/>
        <v>33</v>
      </c>
      <c r="R36" s="24">
        <v>0</v>
      </c>
      <c r="S36" s="14">
        <v>0</v>
      </c>
      <c r="T36" s="14">
        <v>0</v>
      </c>
      <c r="U36" s="76">
        <v>0</v>
      </c>
      <c r="V36" s="14">
        <v>0</v>
      </c>
      <c r="W36" s="77">
        <f t="shared" si="2"/>
        <v>33</v>
      </c>
      <c r="X36" s="37"/>
      <c r="Y36" s="38"/>
      <c r="AA36" s="24">
        <v>0</v>
      </c>
      <c r="AB36" s="14">
        <v>0</v>
      </c>
      <c r="AC36" s="14">
        <v>0</v>
      </c>
      <c r="AD36" s="76">
        <v>0</v>
      </c>
      <c r="AE36" s="14">
        <v>0</v>
      </c>
      <c r="AF36" s="77">
        <f t="shared" si="3"/>
        <v>33</v>
      </c>
      <c r="AG36" s="432"/>
      <c r="AH36" s="24">
        <v>0</v>
      </c>
      <c r="AI36" s="14">
        <v>0</v>
      </c>
      <c r="AJ36" s="14">
        <v>0</v>
      </c>
      <c r="AK36" s="76">
        <v>0</v>
      </c>
      <c r="AL36" s="14">
        <v>0</v>
      </c>
      <c r="AM36" s="77">
        <f t="shared" si="4"/>
        <v>33</v>
      </c>
      <c r="AN36" s="24">
        <v>0</v>
      </c>
      <c r="AO36" s="14">
        <v>0</v>
      </c>
      <c r="AP36" s="14">
        <v>0</v>
      </c>
      <c r="AQ36" s="76">
        <v>0</v>
      </c>
      <c r="AR36" s="14">
        <v>0</v>
      </c>
      <c r="AS36" s="77">
        <f t="shared" si="5"/>
        <v>33</v>
      </c>
      <c r="AT36" s="37"/>
      <c r="AU36" s="38"/>
    </row>
    <row r="37" spans="1:47" ht="18" customHeight="1">
      <c r="A37" s="65">
        <v>359</v>
      </c>
      <c r="B37" s="68" t="s">
        <v>190</v>
      </c>
      <c r="C37" s="33" t="s">
        <v>203</v>
      </c>
      <c r="D37" s="41"/>
      <c r="E37" s="24">
        <v>0</v>
      </c>
      <c r="F37" s="14">
        <v>0</v>
      </c>
      <c r="G37" s="14">
        <v>0</v>
      </c>
      <c r="H37" s="76">
        <v>0</v>
      </c>
      <c r="I37" s="14">
        <v>0</v>
      </c>
      <c r="J37" s="77">
        <f t="shared" si="0"/>
        <v>34</v>
      </c>
      <c r="K37" s="432"/>
      <c r="L37" s="24">
        <v>0</v>
      </c>
      <c r="M37" s="14">
        <v>0</v>
      </c>
      <c r="N37" s="14">
        <v>0</v>
      </c>
      <c r="O37" s="76">
        <v>0</v>
      </c>
      <c r="P37" s="14">
        <v>0</v>
      </c>
      <c r="Q37" s="77">
        <f t="shared" si="1"/>
        <v>33</v>
      </c>
      <c r="R37" s="24">
        <v>0</v>
      </c>
      <c r="S37" s="14">
        <v>0</v>
      </c>
      <c r="T37" s="14">
        <v>0</v>
      </c>
      <c r="U37" s="76">
        <v>0</v>
      </c>
      <c r="V37" s="14">
        <v>0</v>
      </c>
      <c r="W37" s="77">
        <f t="shared" si="2"/>
        <v>33</v>
      </c>
      <c r="X37" s="37"/>
      <c r="Y37" s="38"/>
      <c r="AA37" s="24">
        <v>0</v>
      </c>
      <c r="AB37" s="14">
        <v>0</v>
      </c>
      <c r="AC37" s="14">
        <v>0</v>
      </c>
      <c r="AD37" s="76">
        <v>0</v>
      </c>
      <c r="AE37" s="14">
        <v>0</v>
      </c>
      <c r="AF37" s="77">
        <f t="shared" si="3"/>
        <v>33</v>
      </c>
      <c r="AG37" s="432"/>
      <c r="AH37" s="24">
        <v>0</v>
      </c>
      <c r="AI37" s="14">
        <v>0</v>
      </c>
      <c r="AJ37" s="14">
        <v>0</v>
      </c>
      <c r="AK37" s="76">
        <v>0</v>
      </c>
      <c r="AL37" s="14">
        <v>0</v>
      </c>
      <c r="AM37" s="77">
        <f t="shared" si="4"/>
        <v>33</v>
      </c>
      <c r="AN37" s="24">
        <v>0</v>
      </c>
      <c r="AO37" s="14">
        <v>0</v>
      </c>
      <c r="AP37" s="14">
        <v>0</v>
      </c>
      <c r="AQ37" s="76">
        <v>0</v>
      </c>
      <c r="AR37" s="14">
        <v>0</v>
      </c>
      <c r="AS37" s="77">
        <f t="shared" si="5"/>
        <v>33</v>
      </c>
      <c r="AT37" s="37"/>
      <c r="AU37" s="38"/>
    </row>
    <row r="38" spans="1:47" ht="18" customHeight="1">
      <c r="A38" s="65">
        <v>361</v>
      </c>
      <c r="B38" s="68" t="s">
        <v>52</v>
      </c>
      <c r="C38" s="33" t="s">
        <v>53</v>
      </c>
      <c r="D38" s="41"/>
      <c r="E38" s="24">
        <v>0</v>
      </c>
      <c r="F38" s="14">
        <v>0</v>
      </c>
      <c r="G38" s="14">
        <v>0</v>
      </c>
      <c r="H38" s="76">
        <v>0</v>
      </c>
      <c r="I38" s="14">
        <v>0</v>
      </c>
      <c r="J38" s="77">
        <f t="shared" si="0"/>
        <v>34</v>
      </c>
      <c r="K38" s="432"/>
      <c r="L38" s="24">
        <v>0</v>
      </c>
      <c r="M38" s="14">
        <v>0</v>
      </c>
      <c r="N38" s="14">
        <v>0</v>
      </c>
      <c r="O38" s="76">
        <v>0</v>
      </c>
      <c r="P38" s="14">
        <v>0</v>
      </c>
      <c r="Q38" s="77">
        <f t="shared" si="1"/>
        <v>33</v>
      </c>
      <c r="R38" s="24">
        <v>0</v>
      </c>
      <c r="S38" s="14">
        <v>0</v>
      </c>
      <c r="T38" s="14">
        <v>0</v>
      </c>
      <c r="U38" s="76">
        <v>0</v>
      </c>
      <c r="V38" s="14">
        <v>0</v>
      </c>
      <c r="W38" s="77">
        <f t="shared" si="2"/>
        <v>33</v>
      </c>
      <c r="X38" s="37"/>
      <c r="Y38" s="38"/>
      <c r="AA38" s="24">
        <v>0</v>
      </c>
      <c r="AB38" s="14">
        <v>0</v>
      </c>
      <c r="AC38" s="14">
        <v>0</v>
      </c>
      <c r="AD38" s="76">
        <v>0</v>
      </c>
      <c r="AE38" s="14">
        <v>0</v>
      </c>
      <c r="AF38" s="77">
        <f t="shared" si="3"/>
        <v>33</v>
      </c>
      <c r="AG38" s="432"/>
      <c r="AH38" s="24">
        <v>0</v>
      </c>
      <c r="AI38" s="14">
        <v>0</v>
      </c>
      <c r="AJ38" s="14">
        <v>0</v>
      </c>
      <c r="AK38" s="76">
        <v>0</v>
      </c>
      <c r="AL38" s="14">
        <v>0</v>
      </c>
      <c r="AM38" s="77">
        <f t="shared" si="4"/>
        <v>33</v>
      </c>
      <c r="AN38" s="24">
        <v>0</v>
      </c>
      <c r="AO38" s="14">
        <v>0</v>
      </c>
      <c r="AP38" s="14">
        <v>0</v>
      </c>
      <c r="AQ38" s="76">
        <v>0</v>
      </c>
      <c r="AR38" s="14">
        <v>0</v>
      </c>
      <c r="AS38" s="77">
        <f t="shared" si="5"/>
        <v>33</v>
      </c>
      <c r="AT38" s="37"/>
      <c r="AU38" s="38"/>
    </row>
    <row r="39" spans="1:47" ht="18" customHeight="1">
      <c r="A39" s="65">
        <v>362</v>
      </c>
      <c r="B39" s="68" t="s">
        <v>187</v>
      </c>
      <c r="C39" s="33" t="s">
        <v>204</v>
      </c>
      <c r="D39" s="41"/>
      <c r="E39" s="24">
        <v>44751509</v>
      </c>
      <c r="F39" s="14">
        <v>7256000</v>
      </c>
      <c r="G39" s="14">
        <v>37495509</v>
      </c>
      <c r="H39" s="76">
        <v>75</v>
      </c>
      <c r="I39" s="14">
        <v>41662</v>
      </c>
      <c r="J39" s="77">
        <f t="shared" si="0"/>
        <v>27</v>
      </c>
      <c r="K39" s="432"/>
      <c r="L39" s="24">
        <v>55647603</v>
      </c>
      <c r="M39" s="14">
        <v>7256000</v>
      </c>
      <c r="N39" s="14">
        <v>48391603</v>
      </c>
      <c r="O39" s="76">
        <v>76.5</v>
      </c>
      <c r="P39" s="14">
        <v>52714</v>
      </c>
      <c r="Q39" s="77">
        <f t="shared" si="1"/>
        <v>14</v>
      </c>
      <c r="R39" s="24">
        <v>54112609</v>
      </c>
      <c r="S39" s="14">
        <v>6769078</v>
      </c>
      <c r="T39" s="14">
        <v>47343531</v>
      </c>
      <c r="U39" s="76">
        <v>69.5</v>
      </c>
      <c r="V39" s="14">
        <v>56767</v>
      </c>
      <c r="W39" s="77">
        <f t="shared" si="2"/>
        <v>11</v>
      </c>
      <c r="X39" s="37"/>
      <c r="Y39" s="38"/>
      <c r="AA39" s="24">
        <v>58785983</v>
      </c>
      <c r="AB39" s="14">
        <v>7974800</v>
      </c>
      <c r="AC39" s="14">
        <v>50811183</v>
      </c>
      <c r="AD39" s="76">
        <v>78</v>
      </c>
      <c r="AE39" s="14">
        <v>54285</v>
      </c>
      <c r="AF39" s="77">
        <f t="shared" si="3"/>
        <v>15</v>
      </c>
      <c r="AG39" s="432"/>
      <c r="AH39" s="24">
        <v>61680984</v>
      </c>
      <c r="AI39" s="14">
        <v>7974800</v>
      </c>
      <c r="AJ39" s="14">
        <v>53706184</v>
      </c>
      <c r="AK39" s="76">
        <v>78</v>
      </c>
      <c r="AL39" s="14">
        <v>57378</v>
      </c>
      <c r="AM39" s="77">
        <f t="shared" si="4"/>
        <v>9</v>
      </c>
      <c r="AN39" s="24">
        <v>56777628</v>
      </c>
      <c r="AO39" s="14">
        <v>6986722</v>
      </c>
      <c r="AP39" s="14">
        <v>49790906</v>
      </c>
      <c r="AQ39" s="76">
        <v>72.14</v>
      </c>
      <c r="AR39" s="14">
        <v>57517</v>
      </c>
      <c r="AS39" s="77">
        <f t="shared" si="5"/>
        <v>15</v>
      </c>
      <c r="AT39" s="37"/>
      <c r="AU39" s="38"/>
    </row>
    <row r="40" spans="1:47" ht="18" customHeight="1">
      <c r="A40" s="65">
        <v>364</v>
      </c>
      <c r="B40" s="68" t="s">
        <v>219</v>
      </c>
      <c r="C40" s="33"/>
      <c r="D40" s="41"/>
      <c r="E40" s="24">
        <v>206924933</v>
      </c>
      <c r="F40" s="14">
        <v>5033240</v>
      </c>
      <c r="G40" s="14">
        <v>201891693</v>
      </c>
      <c r="H40" s="76">
        <v>207.5</v>
      </c>
      <c r="I40" s="14">
        <v>81081</v>
      </c>
      <c r="J40" s="77">
        <f t="shared" si="0"/>
        <v>1</v>
      </c>
      <c r="K40" s="432"/>
      <c r="L40" s="24">
        <v>320697811</v>
      </c>
      <c r="M40" s="14">
        <v>27316337</v>
      </c>
      <c r="N40" s="14">
        <v>293381474</v>
      </c>
      <c r="O40" s="76">
        <v>318</v>
      </c>
      <c r="P40" s="14">
        <v>76882</v>
      </c>
      <c r="Q40" s="77">
        <f t="shared" si="1"/>
        <v>1</v>
      </c>
      <c r="R40" s="24">
        <v>198051808</v>
      </c>
      <c r="S40" s="14">
        <v>19627971</v>
      </c>
      <c r="T40" s="14">
        <v>178423837</v>
      </c>
      <c r="U40" s="76">
        <v>212.01000000000002</v>
      </c>
      <c r="V40" s="14">
        <v>70132</v>
      </c>
      <c r="W40" s="77">
        <f t="shared" si="2"/>
        <v>1</v>
      </c>
      <c r="X40" s="37"/>
      <c r="Y40" s="38"/>
      <c r="AA40" s="24">
        <v>365737994</v>
      </c>
      <c r="AB40" s="14">
        <v>74543805</v>
      </c>
      <c r="AC40" s="14">
        <v>291194189</v>
      </c>
      <c r="AD40" s="76">
        <v>321</v>
      </c>
      <c r="AE40" s="14">
        <v>75596</v>
      </c>
      <c r="AF40" s="77">
        <f t="shared" si="3"/>
        <v>2</v>
      </c>
      <c r="AG40" s="432"/>
      <c r="AH40" s="24">
        <v>380322588</v>
      </c>
      <c r="AI40" s="14">
        <v>82421805</v>
      </c>
      <c r="AJ40" s="14">
        <v>297900783</v>
      </c>
      <c r="AK40" s="76">
        <v>327.83</v>
      </c>
      <c r="AL40" s="14">
        <v>75725</v>
      </c>
      <c r="AM40" s="77">
        <f t="shared" si="4"/>
        <v>2</v>
      </c>
      <c r="AN40" s="24">
        <v>284357859</v>
      </c>
      <c r="AO40" s="14">
        <v>32313529</v>
      </c>
      <c r="AP40" s="14">
        <v>252044330</v>
      </c>
      <c r="AQ40" s="76">
        <v>268.81</v>
      </c>
      <c r="AR40" s="14">
        <v>78136</v>
      </c>
      <c r="AS40" s="77">
        <f t="shared" si="5"/>
        <v>1</v>
      </c>
      <c r="AT40" s="37"/>
      <c r="AU40" s="38"/>
    </row>
    <row r="41" spans="1:47" ht="18" customHeight="1">
      <c r="A41" s="65">
        <v>371</v>
      </c>
      <c r="B41" s="68" t="s">
        <v>193</v>
      </c>
      <c r="C41" s="33" t="s">
        <v>205</v>
      </c>
      <c r="D41" s="41"/>
      <c r="E41" s="24">
        <v>16986049</v>
      </c>
      <c r="F41" s="14">
        <v>700000</v>
      </c>
      <c r="G41" s="14">
        <v>16286049</v>
      </c>
      <c r="H41" s="76">
        <v>19</v>
      </c>
      <c r="I41" s="14">
        <v>71430</v>
      </c>
      <c r="J41" s="77">
        <f t="shared" si="0"/>
        <v>2</v>
      </c>
      <c r="K41" s="432"/>
      <c r="L41" s="24">
        <v>16986049</v>
      </c>
      <c r="M41" s="14">
        <v>700000</v>
      </c>
      <c r="N41" s="14">
        <v>16286049</v>
      </c>
      <c r="O41" s="76">
        <v>19</v>
      </c>
      <c r="P41" s="14">
        <v>71430</v>
      </c>
      <c r="Q41" s="77">
        <f t="shared" si="1"/>
        <v>2</v>
      </c>
      <c r="R41" s="24">
        <v>15266854</v>
      </c>
      <c r="S41" s="14">
        <v>37875</v>
      </c>
      <c r="T41" s="14">
        <v>15228979</v>
      </c>
      <c r="U41" s="76">
        <v>18.399999999999999</v>
      </c>
      <c r="V41" s="14">
        <v>68972</v>
      </c>
      <c r="W41" s="77">
        <f t="shared" si="2"/>
        <v>2</v>
      </c>
      <c r="X41" s="37"/>
      <c r="Y41" s="38"/>
      <c r="AA41" s="24">
        <v>19462623</v>
      </c>
      <c r="AB41" s="14">
        <v>700000</v>
      </c>
      <c r="AC41" s="14">
        <v>18762623</v>
      </c>
      <c r="AD41" s="76">
        <v>20</v>
      </c>
      <c r="AE41" s="14">
        <v>78178</v>
      </c>
      <c r="AF41" s="77">
        <f t="shared" si="3"/>
        <v>1</v>
      </c>
      <c r="AG41" s="432"/>
      <c r="AH41" s="24">
        <v>19462623</v>
      </c>
      <c r="AI41" s="14">
        <v>700000</v>
      </c>
      <c r="AJ41" s="14">
        <v>18762623</v>
      </c>
      <c r="AK41" s="76">
        <v>20</v>
      </c>
      <c r="AL41" s="14">
        <v>78178</v>
      </c>
      <c r="AM41" s="77">
        <f t="shared" si="4"/>
        <v>1</v>
      </c>
      <c r="AN41" s="24">
        <v>18094945</v>
      </c>
      <c r="AO41" s="14">
        <v>28125</v>
      </c>
      <c r="AP41" s="14">
        <v>18066820</v>
      </c>
      <c r="AQ41" s="76">
        <v>19.53</v>
      </c>
      <c r="AR41" s="14">
        <v>77090</v>
      </c>
      <c r="AS41" s="77">
        <f t="shared" si="5"/>
        <v>2</v>
      </c>
      <c r="AT41" s="37"/>
      <c r="AU41" s="38"/>
    </row>
    <row r="42" spans="1:47" ht="18" customHeight="1">
      <c r="A42" s="65">
        <v>372</v>
      </c>
      <c r="B42" s="68" t="s">
        <v>54</v>
      </c>
      <c r="C42" s="33" t="s">
        <v>55</v>
      </c>
      <c r="D42" s="41"/>
      <c r="E42" s="24">
        <v>43284149</v>
      </c>
      <c r="F42" s="14">
        <v>17917296</v>
      </c>
      <c r="G42" s="14">
        <v>25366853</v>
      </c>
      <c r="H42" s="76">
        <v>48</v>
      </c>
      <c r="I42" s="14">
        <v>44040</v>
      </c>
      <c r="J42" s="77">
        <f t="shared" si="0"/>
        <v>24</v>
      </c>
      <c r="K42" s="432"/>
      <c r="L42" s="24">
        <v>42703882</v>
      </c>
      <c r="M42" s="14">
        <v>17337029</v>
      </c>
      <c r="N42" s="14">
        <v>25366853</v>
      </c>
      <c r="O42" s="76">
        <v>48</v>
      </c>
      <c r="P42" s="14">
        <v>44040</v>
      </c>
      <c r="Q42" s="77">
        <f t="shared" si="1"/>
        <v>27</v>
      </c>
      <c r="R42" s="24">
        <v>41385445</v>
      </c>
      <c r="S42" s="14">
        <v>17272632</v>
      </c>
      <c r="T42" s="14">
        <v>24112813</v>
      </c>
      <c r="U42" s="76">
        <v>44</v>
      </c>
      <c r="V42" s="14">
        <v>45668</v>
      </c>
      <c r="W42" s="77">
        <f t="shared" si="2"/>
        <v>27</v>
      </c>
      <c r="X42" s="37"/>
      <c r="Y42" s="38"/>
      <c r="AA42" s="24">
        <v>48661592</v>
      </c>
      <c r="AB42" s="14">
        <v>20188896</v>
      </c>
      <c r="AC42" s="14">
        <v>28472696</v>
      </c>
      <c r="AD42" s="76">
        <v>48</v>
      </c>
      <c r="AE42" s="14">
        <v>49432</v>
      </c>
      <c r="AF42" s="77">
        <f t="shared" si="3"/>
        <v>22</v>
      </c>
      <c r="AG42" s="432"/>
      <c r="AH42" s="24">
        <v>48661592</v>
      </c>
      <c r="AI42" s="14">
        <v>20188896</v>
      </c>
      <c r="AJ42" s="14">
        <v>28472696</v>
      </c>
      <c r="AK42" s="76">
        <v>48</v>
      </c>
      <c r="AL42" s="14">
        <v>49432</v>
      </c>
      <c r="AM42" s="77">
        <f t="shared" si="4"/>
        <v>22</v>
      </c>
      <c r="AN42" s="24">
        <v>46443629</v>
      </c>
      <c r="AO42" s="14">
        <v>19556123</v>
      </c>
      <c r="AP42" s="14">
        <v>26887506</v>
      </c>
      <c r="AQ42" s="76">
        <v>43</v>
      </c>
      <c r="AR42" s="14">
        <v>52108</v>
      </c>
      <c r="AS42" s="77">
        <f t="shared" si="5"/>
        <v>23</v>
      </c>
      <c r="AT42" s="37"/>
      <c r="AU42" s="38"/>
    </row>
    <row r="43" spans="1:47" ht="18" customHeight="1">
      <c r="A43" s="65">
        <v>373</v>
      </c>
      <c r="B43" s="68" t="s">
        <v>188</v>
      </c>
      <c r="C43" s="33"/>
      <c r="D43" s="41"/>
      <c r="E43" s="75">
        <v>15140797</v>
      </c>
      <c r="F43" s="76">
        <v>300000</v>
      </c>
      <c r="G43" s="76">
        <v>14840797</v>
      </c>
      <c r="H43" s="76">
        <v>23</v>
      </c>
      <c r="I43" s="76">
        <v>53771</v>
      </c>
      <c r="J43" s="77">
        <f t="shared" ref="J43" si="6">RANK(I43,I$6:I$49,0)</f>
        <v>8</v>
      </c>
      <c r="K43" s="432"/>
      <c r="L43" s="24"/>
      <c r="M43" s="14"/>
      <c r="N43" s="14"/>
      <c r="O43" s="76"/>
      <c r="P43" s="14"/>
      <c r="Q43" s="77"/>
      <c r="R43" s="24"/>
      <c r="S43" s="14"/>
      <c r="T43" s="14"/>
      <c r="U43" s="76"/>
      <c r="V43" s="14"/>
      <c r="W43" s="77"/>
      <c r="X43" s="37"/>
      <c r="Y43" s="38"/>
      <c r="AA43" s="24"/>
      <c r="AB43" s="14"/>
      <c r="AC43" s="14"/>
      <c r="AD43" s="76"/>
      <c r="AE43" s="14"/>
      <c r="AF43" s="77"/>
      <c r="AG43" s="432"/>
      <c r="AH43" s="24"/>
      <c r="AI43" s="14"/>
      <c r="AJ43" s="14"/>
      <c r="AK43" s="76"/>
      <c r="AL43" s="14"/>
      <c r="AM43" s="77"/>
      <c r="AN43" s="24"/>
      <c r="AO43" s="14"/>
      <c r="AP43" s="14"/>
      <c r="AQ43" s="76"/>
      <c r="AR43" s="14"/>
      <c r="AS43" s="77"/>
      <c r="AT43" s="37"/>
      <c r="AU43" s="38"/>
    </row>
    <row r="44" spans="1:47" ht="18" customHeight="1">
      <c r="A44" s="65">
        <v>374</v>
      </c>
      <c r="B44" s="68" t="s">
        <v>56</v>
      </c>
      <c r="C44" s="33" t="s">
        <v>57</v>
      </c>
      <c r="D44" s="41"/>
      <c r="E44" s="24">
        <v>205656880</v>
      </c>
      <c r="F44" s="14">
        <v>1357529</v>
      </c>
      <c r="G44" s="14">
        <v>204299351</v>
      </c>
      <c r="H44" s="76">
        <v>416</v>
      </c>
      <c r="I44" s="14">
        <v>40925</v>
      </c>
      <c r="J44" s="77">
        <f t="shared" ref="J44:J49" si="7">RANK(I44,I$6:I$49,0)</f>
        <v>29</v>
      </c>
      <c r="K44" s="432"/>
      <c r="L44" s="24">
        <v>209421880</v>
      </c>
      <c r="M44" s="14">
        <v>1357529</v>
      </c>
      <c r="N44" s="14">
        <v>208064351</v>
      </c>
      <c r="O44" s="76">
        <v>416</v>
      </c>
      <c r="P44" s="14">
        <v>41680</v>
      </c>
      <c r="Q44" s="77">
        <f t="shared" ref="Q44:Q49" si="8">RANK(P44,P$6:P$49,0)</f>
        <v>28</v>
      </c>
      <c r="R44" s="24">
        <v>205569155</v>
      </c>
      <c r="S44" s="14">
        <v>1265364</v>
      </c>
      <c r="T44" s="14">
        <v>204303791</v>
      </c>
      <c r="U44" s="76">
        <v>373.85</v>
      </c>
      <c r="V44" s="14">
        <v>45540</v>
      </c>
      <c r="W44" s="77">
        <f t="shared" ref="W44:W49" si="9">RANK(V44,V$6:V$49,0)</f>
        <v>28</v>
      </c>
      <c r="X44" s="37"/>
      <c r="Y44" s="38"/>
      <c r="AA44" s="24">
        <v>215014318</v>
      </c>
      <c r="AB44" s="14">
        <v>1357529</v>
      </c>
      <c r="AC44" s="14">
        <v>213656789</v>
      </c>
      <c r="AD44" s="76">
        <v>416</v>
      </c>
      <c r="AE44" s="14">
        <v>42800</v>
      </c>
      <c r="AF44" s="77">
        <f t="shared" ref="AF44:AF49" si="10">RANK(AE44,AE$6:AE$49,0)</f>
        <v>29</v>
      </c>
      <c r="AG44" s="432"/>
      <c r="AH44" s="24">
        <v>215014318</v>
      </c>
      <c r="AI44" s="14">
        <v>1357529</v>
      </c>
      <c r="AJ44" s="14">
        <v>213656789</v>
      </c>
      <c r="AK44" s="76">
        <v>416</v>
      </c>
      <c r="AL44" s="14">
        <v>42800</v>
      </c>
      <c r="AM44" s="77">
        <f t="shared" ref="AM44:AM49" si="11">RANK(AL44,AL$6:AL$49,0)</f>
        <v>29</v>
      </c>
      <c r="AN44" s="24">
        <v>218663897</v>
      </c>
      <c r="AO44" s="14">
        <v>1847377</v>
      </c>
      <c r="AP44" s="14">
        <v>216816520</v>
      </c>
      <c r="AQ44" s="76">
        <v>376.14</v>
      </c>
      <c r="AR44" s="14">
        <v>48035</v>
      </c>
      <c r="AS44" s="77">
        <f t="shared" ref="AS44:AS49" si="12">RANK(AR44,AR$6:AR$49,0)</f>
        <v>29</v>
      </c>
      <c r="AT44" s="37"/>
      <c r="AU44" s="38"/>
    </row>
    <row r="45" spans="1:47" ht="16.5" customHeight="1">
      <c r="A45" s="65">
        <v>375</v>
      </c>
      <c r="B45" s="68" t="s">
        <v>58</v>
      </c>
      <c r="C45" s="33" t="s">
        <v>59</v>
      </c>
      <c r="D45" s="41"/>
      <c r="E45" s="24">
        <v>152152559</v>
      </c>
      <c r="F45" s="14">
        <v>2000700</v>
      </c>
      <c r="G45" s="14">
        <v>150151859</v>
      </c>
      <c r="H45" s="76">
        <v>218</v>
      </c>
      <c r="I45" s="14">
        <v>57397</v>
      </c>
      <c r="J45" s="77">
        <f t="shared" si="7"/>
        <v>4</v>
      </c>
      <c r="K45" s="432"/>
      <c r="L45" s="24">
        <v>152152559</v>
      </c>
      <c r="M45" s="14">
        <v>2000700</v>
      </c>
      <c r="N45" s="14">
        <v>150151859</v>
      </c>
      <c r="O45" s="76">
        <v>218</v>
      </c>
      <c r="P45" s="14">
        <v>57397</v>
      </c>
      <c r="Q45" s="77">
        <f t="shared" si="8"/>
        <v>5</v>
      </c>
      <c r="R45" s="24">
        <v>150907206</v>
      </c>
      <c r="S45" s="14">
        <v>2792212</v>
      </c>
      <c r="T45" s="14">
        <v>148114994</v>
      </c>
      <c r="U45" s="76">
        <v>196.82</v>
      </c>
      <c r="V45" s="14">
        <v>62712</v>
      </c>
      <c r="W45" s="77">
        <f t="shared" si="9"/>
        <v>4</v>
      </c>
      <c r="X45" s="37"/>
      <c r="Y45" s="38"/>
      <c r="AA45" s="24">
        <v>170611915</v>
      </c>
      <c r="AB45" s="14">
        <v>2000700</v>
      </c>
      <c r="AC45" s="14">
        <v>168611215</v>
      </c>
      <c r="AD45" s="76">
        <v>237</v>
      </c>
      <c r="AE45" s="14">
        <v>59287</v>
      </c>
      <c r="AF45" s="77">
        <f t="shared" si="10"/>
        <v>4</v>
      </c>
      <c r="AG45" s="432"/>
      <c r="AH45" s="24">
        <v>170611915</v>
      </c>
      <c r="AI45" s="14">
        <v>2000700</v>
      </c>
      <c r="AJ45" s="14">
        <v>168611215</v>
      </c>
      <c r="AK45" s="76">
        <v>237</v>
      </c>
      <c r="AL45" s="14">
        <v>59287</v>
      </c>
      <c r="AM45" s="77">
        <f t="shared" si="11"/>
        <v>4</v>
      </c>
      <c r="AN45" s="24">
        <v>165650329</v>
      </c>
      <c r="AO45" s="14">
        <v>3194379</v>
      </c>
      <c r="AP45" s="14">
        <v>162455950</v>
      </c>
      <c r="AQ45" s="76">
        <v>204.75</v>
      </c>
      <c r="AR45" s="14">
        <v>66120</v>
      </c>
      <c r="AS45" s="77">
        <f t="shared" si="12"/>
        <v>4</v>
      </c>
      <c r="AT45" s="37"/>
      <c r="AU45" s="38"/>
    </row>
    <row r="46" spans="1:47" ht="16.5" customHeight="1">
      <c r="A46" s="65">
        <v>376</v>
      </c>
      <c r="B46" s="68" t="s">
        <v>105</v>
      </c>
      <c r="C46" s="33" t="s">
        <v>207</v>
      </c>
      <c r="D46" s="42"/>
      <c r="E46" s="24">
        <v>0</v>
      </c>
      <c r="F46" s="14">
        <v>0</v>
      </c>
      <c r="G46" s="14">
        <v>0</v>
      </c>
      <c r="H46" s="76">
        <v>0</v>
      </c>
      <c r="I46" s="14">
        <v>0</v>
      </c>
      <c r="J46" s="77">
        <f t="shared" si="7"/>
        <v>34</v>
      </c>
      <c r="K46" s="432"/>
      <c r="L46" s="24">
        <v>0</v>
      </c>
      <c r="M46" s="14">
        <v>0</v>
      </c>
      <c r="N46" s="14">
        <v>0</v>
      </c>
      <c r="O46" s="76">
        <v>0</v>
      </c>
      <c r="P46" s="14">
        <v>0</v>
      </c>
      <c r="Q46" s="77">
        <f t="shared" si="8"/>
        <v>33</v>
      </c>
      <c r="R46" s="24">
        <v>0</v>
      </c>
      <c r="S46" s="14">
        <v>0</v>
      </c>
      <c r="T46" s="14">
        <v>0</v>
      </c>
      <c r="U46" s="76">
        <v>0</v>
      </c>
      <c r="V46" s="14">
        <v>0</v>
      </c>
      <c r="W46" s="77">
        <f t="shared" si="9"/>
        <v>33</v>
      </c>
      <c r="X46" s="37"/>
      <c r="Y46" s="38"/>
      <c r="AA46" s="24">
        <v>0</v>
      </c>
      <c r="AB46" s="14">
        <v>0</v>
      </c>
      <c r="AC46" s="14">
        <v>0</v>
      </c>
      <c r="AD46" s="76">
        <v>0</v>
      </c>
      <c r="AE46" s="14">
        <v>0</v>
      </c>
      <c r="AF46" s="77">
        <f t="shared" si="10"/>
        <v>33</v>
      </c>
      <c r="AG46" s="432"/>
      <c r="AH46" s="24">
        <v>0</v>
      </c>
      <c r="AI46" s="14">
        <v>0</v>
      </c>
      <c r="AJ46" s="14">
        <v>0</v>
      </c>
      <c r="AK46" s="76">
        <v>0</v>
      </c>
      <c r="AL46" s="14">
        <v>0</v>
      </c>
      <c r="AM46" s="77">
        <f t="shared" si="11"/>
        <v>33</v>
      </c>
      <c r="AN46" s="24">
        <v>0</v>
      </c>
      <c r="AO46" s="14">
        <v>0</v>
      </c>
      <c r="AP46" s="14">
        <v>0</v>
      </c>
      <c r="AQ46" s="76">
        <v>0</v>
      </c>
      <c r="AR46" s="14">
        <v>0</v>
      </c>
      <c r="AS46" s="77">
        <f t="shared" si="12"/>
        <v>33</v>
      </c>
      <c r="AT46" s="37"/>
      <c r="AU46" s="38"/>
    </row>
    <row r="47" spans="1:47" ht="16.5" customHeight="1">
      <c r="A47" s="66">
        <v>377</v>
      </c>
      <c r="B47" s="69" t="s">
        <v>163</v>
      </c>
      <c r="C47" s="33" t="s">
        <v>104</v>
      </c>
      <c r="D47" s="42"/>
      <c r="E47" s="24">
        <v>0</v>
      </c>
      <c r="F47" s="14">
        <v>0</v>
      </c>
      <c r="G47" s="14">
        <v>0</v>
      </c>
      <c r="H47" s="76">
        <v>0</v>
      </c>
      <c r="I47" s="14">
        <v>0</v>
      </c>
      <c r="J47" s="77">
        <f t="shared" si="7"/>
        <v>34</v>
      </c>
      <c r="K47" s="432"/>
      <c r="L47" s="24">
        <v>0</v>
      </c>
      <c r="M47" s="14">
        <v>0</v>
      </c>
      <c r="N47" s="14">
        <v>0</v>
      </c>
      <c r="O47" s="76">
        <v>0</v>
      </c>
      <c r="P47" s="14">
        <v>0</v>
      </c>
      <c r="Q47" s="77">
        <f t="shared" si="8"/>
        <v>33</v>
      </c>
      <c r="R47" s="24">
        <v>0</v>
      </c>
      <c r="S47" s="14">
        <v>0</v>
      </c>
      <c r="T47" s="14">
        <v>0</v>
      </c>
      <c r="U47" s="76">
        <v>0</v>
      </c>
      <c r="V47" s="14">
        <v>0</v>
      </c>
      <c r="W47" s="77">
        <f t="shared" si="9"/>
        <v>33</v>
      </c>
      <c r="X47" s="37"/>
      <c r="Y47" s="38"/>
      <c r="AA47" s="24">
        <v>0</v>
      </c>
      <c r="AB47" s="14">
        <v>0</v>
      </c>
      <c r="AC47" s="14">
        <v>0</v>
      </c>
      <c r="AD47" s="76">
        <v>0</v>
      </c>
      <c r="AE47" s="14">
        <v>0</v>
      </c>
      <c r="AF47" s="77">
        <f t="shared" si="10"/>
        <v>33</v>
      </c>
      <c r="AG47" s="432"/>
      <c r="AH47" s="24">
        <v>0</v>
      </c>
      <c r="AI47" s="14">
        <v>0</v>
      </c>
      <c r="AJ47" s="14">
        <v>0</v>
      </c>
      <c r="AK47" s="76">
        <v>0</v>
      </c>
      <c r="AL47" s="14">
        <v>0</v>
      </c>
      <c r="AM47" s="77">
        <f t="shared" si="11"/>
        <v>33</v>
      </c>
      <c r="AN47" s="24">
        <v>0</v>
      </c>
      <c r="AO47" s="14">
        <v>0</v>
      </c>
      <c r="AP47" s="14">
        <v>0</v>
      </c>
      <c r="AQ47" s="76">
        <v>0</v>
      </c>
      <c r="AR47" s="14">
        <v>0</v>
      </c>
      <c r="AS47" s="77">
        <f t="shared" si="12"/>
        <v>33</v>
      </c>
      <c r="AT47" s="37"/>
      <c r="AU47" s="38"/>
    </row>
    <row r="48" spans="1:47" ht="18" customHeight="1">
      <c r="A48" s="65">
        <v>378</v>
      </c>
      <c r="B48" s="68" t="s">
        <v>189</v>
      </c>
      <c r="C48" s="33" t="s">
        <v>208</v>
      </c>
      <c r="D48" s="41"/>
      <c r="E48" s="24">
        <v>239467965</v>
      </c>
      <c r="F48" s="14">
        <v>803648</v>
      </c>
      <c r="G48" s="14">
        <v>238664317</v>
      </c>
      <c r="H48" s="76">
        <v>373</v>
      </c>
      <c r="I48" s="14">
        <v>53321</v>
      </c>
      <c r="J48" s="77">
        <f t="shared" si="7"/>
        <v>10</v>
      </c>
      <c r="K48" s="432"/>
      <c r="L48" s="24">
        <v>239687745</v>
      </c>
      <c r="M48" s="14">
        <v>803648</v>
      </c>
      <c r="N48" s="14">
        <v>238884097</v>
      </c>
      <c r="O48" s="76">
        <v>373</v>
      </c>
      <c r="P48" s="14">
        <v>53370</v>
      </c>
      <c r="Q48" s="77">
        <f t="shared" si="8"/>
        <v>12</v>
      </c>
      <c r="R48" s="24">
        <v>239020211</v>
      </c>
      <c r="S48" s="14">
        <v>1894625</v>
      </c>
      <c r="T48" s="14">
        <v>237125586</v>
      </c>
      <c r="U48" s="76">
        <v>357.23</v>
      </c>
      <c r="V48" s="14">
        <v>55316</v>
      </c>
      <c r="W48" s="77">
        <f t="shared" si="9"/>
        <v>14</v>
      </c>
      <c r="X48" s="37"/>
      <c r="Y48" s="38"/>
      <c r="AA48" s="24">
        <v>259183747</v>
      </c>
      <c r="AB48" s="14">
        <v>803648</v>
      </c>
      <c r="AC48" s="14">
        <v>258380099</v>
      </c>
      <c r="AD48" s="76">
        <v>385</v>
      </c>
      <c r="AE48" s="14">
        <v>55926</v>
      </c>
      <c r="AF48" s="77">
        <f t="shared" si="10"/>
        <v>9</v>
      </c>
      <c r="AG48" s="432"/>
      <c r="AH48" s="24">
        <v>261641226</v>
      </c>
      <c r="AI48" s="14">
        <v>941502</v>
      </c>
      <c r="AJ48" s="14">
        <v>260699724</v>
      </c>
      <c r="AK48" s="76">
        <v>385.17</v>
      </c>
      <c r="AL48" s="14">
        <v>56404</v>
      </c>
      <c r="AM48" s="77">
        <f t="shared" si="11"/>
        <v>12</v>
      </c>
      <c r="AN48" s="24">
        <v>259017236</v>
      </c>
      <c r="AO48" s="14">
        <v>3805621</v>
      </c>
      <c r="AP48" s="14">
        <v>255211615</v>
      </c>
      <c r="AQ48" s="76">
        <v>364.76</v>
      </c>
      <c r="AR48" s="14">
        <v>58306</v>
      </c>
      <c r="AS48" s="77">
        <f t="shared" si="12"/>
        <v>14</v>
      </c>
      <c r="AT48" s="37"/>
      <c r="AU48" s="38"/>
    </row>
    <row r="49" spans="1:47" ht="16.5" customHeight="1" thickBot="1">
      <c r="A49" s="67">
        <v>381</v>
      </c>
      <c r="B49" s="70" t="s">
        <v>60</v>
      </c>
      <c r="C49" s="34" t="s">
        <v>61</v>
      </c>
      <c r="D49" s="42"/>
      <c r="E49" s="24">
        <v>0</v>
      </c>
      <c r="F49" s="14">
        <v>0</v>
      </c>
      <c r="G49" s="14">
        <v>0</v>
      </c>
      <c r="H49" s="76">
        <v>0</v>
      </c>
      <c r="I49" s="14">
        <v>0</v>
      </c>
      <c r="J49" s="77">
        <f t="shared" si="7"/>
        <v>34</v>
      </c>
      <c r="K49" s="432"/>
      <c r="L49" s="24">
        <v>0</v>
      </c>
      <c r="M49" s="14">
        <v>0</v>
      </c>
      <c r="N49" s="14">
        <v>0</v>
      </c>
      <c r="O49" s="76">
        <v>0</v>
      </c>
      <c r="P49" s="14">
        <v>0</v>
      </c>
      <c r="Q49" s="77">
        <f t="shared" si="8"/>
        <v>33</v>
      </c>
      <c r="R49" s="24">
        <v>0</v>
      </c>
      <c r="S49" s="14">
        <v>0</v>
      </c>
      <c r="T49" s="14">
        <v>0</v>
      </c>
      <c r="U49" s="76">
        <v>0</v>
      </c>
      <c r="V49" s="14">
        <v>0</v>
      </c>
      <c r="W49" s="77">
        <f t="shared" si="9"/>
        <v>33</v>
      </c>
      <c r="X49" s="37"/>
      <c r="Y49" s="38"/>
      <c r="AA49" s="24">
        <v>0</v>
      </c>
      <c r="AB49" s="14">
        <v>0</v>
      </c>
      <c r="AC49" s="14">
        <v>0</v>
      </c>
      <c r="AD49" s="76">
        <v>0</v>
      </c>
      <c r="AE49" s="14">
        <v>0</v>
      </c>
      <c r="AF49" s="77">
        <f t="shared" si="10"/>
        <v>33</v>
      </c>
      <c r="AG49" s="432"/>
      <c r="AH49" s="24">
        <v>0</v>
      </c>
      <c r="AI49" s="14">
        <v>0</v>
      </c>
      <c r="AJ49" s="14">
        <v>0</v>
      </c>
      <c r="AK49" s="76">
        <v>0</v>
      </c>
      <c r="AL49" s="14">
        <v>0</v>
      </c>
      <c r="AM49" s="77">
        <f t="shared" si="11"/>
        <v>33</v>
      </c>
      <c r="AN49" s="24">
        <v>0</v>
      </c>
      <c r="AO49" s="14">
        <v>0</v>
      </c>
      <c r="AP49" s="14">
        <v>0</v>
      </c>
      <c r="AQ49" s="76">
        <v>0</v>
      </c>
      <c r="AR49" s="14">
        <v>0</v>
      </c>
      <c r="AS49" s="77">
        <f t="shared" si="12"/>
        <v>33</v>
      </c>
      <c r="AT49" s="37"/>
      <c r="AU49" s="38"/>
    </row>
    <row r="50" spans="1:47" ht="14">
      <c r="A50" s="342" t="s">
        <v>166</v>
      </c>
      <c r="B50" s="343"/>
      <c r="C50" s="46"/>
      <c r="D50" s="43"/>
      <c r="E50" s="49"/>
      <c r="F50" s="50"/>
      <c r="G50" s="50"/>
      <c r="H50" s="50"/>
      <c r="I50" s="50"/>
      <c r="J50" s="51"/>
      <c r="K50" s="188"/>
      <c r="L50" s="49"/>
      <c r="M50" s="50"/>
      <c r="N50" s="50"/>
      <c r="O50" s="50"/>
      <c r="P50" s="50"/>
      <c r="Q50" s="51"/>
      <c r="R50" s="49"/>
      <c r="S50" s="50"/>
      <c r="T50" s="50"/>
      <c r="U50" s="50"/>
      <c r="V50" s="50"/>
      <c r="W50" s="51"/>
      <c r="X50" s="53"/>
      <c r="Y50" s="52"/>
      <c r="AA50" s="49"/>
      <c r="AB50" s="50"/>
      <c r="AC50" s="50"/>
      <c r="AD50" s="50"/>
      <c r="AE50" s="50"/>
      <c r="AF50" s="51"/>
      <c r="AG50" s="188"/>
      <c r="AH50" s="49"/>
      <c r="AI50" s="50"/>
      <c r="AJ50" s="50"/>
      <c r="AK50" s="50"/>
      <c r="AL50" s="50"/>
      <c r="AM50" s="51"/>
      <c r="AN50" s="49"/>
      <c r="AO50" s="50"/>
      <c r="AP50" s="50"/>
      <c r="AQ50" s="50"/>
      <c r="AR50" s="50"/>
      <c r="AS50" s="51"/>
      <c r="AT50" s="53"/>
      <c r="AU50" s="52"/>
    </row>
    <row r="51" spans="1:47" ht="14">
      <c r="A51" s="344"/>
      <c r="B51" s="345"/>
      <c r="C51" s="35" t="s">
        <v>62</v>
      </c>
      <c r="D51" s="43"/>
      <c r="E51" s="20">
        <f>SUM(E5:E49)</f>
        <v>97837931981</v>
      </c>
      <c r="F51" s="10">
        <f t="shared" ref="F51:H51" si="13">SUM(F5:F49)</f>
        <v>7401861057</v>
      </c>
      <c r="G51" s="10">
        <f t="shared" si="13"/>
        <v>90436070924</v>
      </c>
      <c r="H51" s="10">
        <f t="shared" si="13"/>
        <v>169317.83999999997</v>
      </c>
      <c r="I51" s="10">
        <f>IF(H51=0,0,ROUND(G51/H51/12,0))</f>
        <v>44510</v>
      </c>
      <c r="J51" s="11" t="s">
        <v>63</v>
      </c>
      <c r="K51" s="433"/>
      <c r="L51" s="20">
        <f>SUM(L5:L49)</f>
        <v>101152809360</v>
      </c>
      <c r="M51" s="10">
        <f t="shared" ref="M51:O51" si="14">SUM(M5:M49)</f>
        <v>8176407015</v>
      </c>
      <c r="N51" s="10">
        <f t="shared" si="14"/>
        <v>92976402345</v>
      </c>
      <c r="O51" s="10">
        <f t="shared" si="14"/>
        <v>168157.01</v>
      </c>
      <c r="P51" s="10">
        <f>IF(O51=0,0,ROUND(N51/O51/12,0))</f>
        <v>46076</v>
      </c>
      <c r="Q51" s="11" t="s">
        <v>63</v>
      </c>
      <c r="R51" s="20">
        <f>SUM(R5:R49)</f>
        <v>100493694370.7</v>
      </c>
      <c r="S51" s="10">
        <f t="shared" ref="S51:U51" si="15">SUM(S5:S49)</f>
        <v>8192252098.2700005</v>
      </c>
      <c r="T51" s="10">
        <f t="shared" si="15"/>
        <v>92301442272.429993</v>
      </c>
      <c r="U51" s="10">
        <f t="shared" si="15"/>
        <v>155327.65999999997</v>
      </c>
      <c r="V51" s="10">
        <f>IF(U51=0,0,ROUND(T51/U51/12,0))</f>
        <v>49520</v>
      </c>
      <c r="W51" s="11" t="s">
        <v>63</v>
      </c>
      <c r="X51" s="40"/>
      <c r="Y51" s="25"/>
      <c r="AA51" s="20">
        <f>SUM(AA6:AA49)</f>
        <v>105730563770</v>
      </c>
      <c r="AB51" s="10">
        <f t="shared" ref="AB51:AD51" si="16">SUM(AB6:AB49)</f>
        <v>8017431201</v>
      </c>
      <c r="AC51" s="10">
        <f t="shared" si="16"/>
        <v>97713132569</v>
      </c>
      <c r="AD51" s="10">
        <f t="shared" si="16"/>
        <v>168373.80666666667</v>
      </c>
      <c r="AE51" s="10">
        <f>IF(AD51=0,0,ROUND(AC51/AD51/12,0))</f>
        <v>48361</v>
      </c>
      <c r="AF51" s="11" t="s">
        <v>63</v>
      </c>
      <c r="AG51" s="433"/>
      <c r="AH51" s="20">
        <f>SUM(AH6:AH49)</f>
        <v>107277787244</v>
      </c>
      <c r="AI51" s="10">
        <f t="shared" ref="AI51:AK51" si="17">SUM(AI6:AI49)</f>
        <v>8552980528</v>
      </c>
      <c r="AJ51" s="10">
        <f t="shared" si="17"/>
        <v>98724806716</v>
      </c>
      <c r="AK51" s="10">
        <f t="shared" si="17"/>
        <v>167818.14000000004</v>
      </c>
      <c r="AL51" s="10">
        <f>IF(AK51=0,0,ROUND(AJ51/AK51/12,0))</f>
        <v>49024</v>
      </c>
      <c r="AM51" s="11" t="s">
        <v>63</v>
      </c>
      <c r="AN51" s="20">
        <f>SUM(AN6:AN49)</f>
        <v>106978847015.73001</v>
      </c>
      <c r="AO51" s="10">
        <f t="shared" ref="AO51:AQ51" si="18">SUM(AO6:AO49)</f>
        <v>8588997620.9100018</v>
      </c>
      <c r="AP51" s="10">
        <f t="shared" si="18"/>
        <v>98389849394.820007</v>
      </c>
      <c r="AQ51" s="10">
        <f t="shared" si="18"/>
        <v>154566.04</v>
      </c>
      <c r="AR51" s="10">
        <f>IF(AQ51=0,0,ROUND(AP51/AQ51/12,0))</f>
        <v>53046</v>
      </c>
      <c r="AS51" s="11" t="s">
        <v>63</v>
      </c>
      <c r="AT51" s="40"/>
      <c r="AU51" s="25"/>
    </row>
    <row r="52" spans="1:47" ht="21" customHeight="1" thickBot="1">
      <c r="A52" s="346"/>
      <c r="B52" s="347"/>
      <c r="C52" s="36"/>
      <c r="D52" s="44"/>
      <c r="E52" s="21"/>
      <c r="F52" s="22"/>
      <c r="G52" s="22"/>
      <c r="H52" s="22"/>
      <c r="I52" s="22"/>
      <c r="J52" s="23"/>
      <c r="K52" s="189"/>
      <c r="L52" s="21"/>
      <c r="M52" s="22"/>
      <c r="N52" s="22"/>
      <c r="O52" s="22"/>
      <c r="P52" s="22"/>
      <c r="Q52" s="23"/>
      <c r="R52" s="21"/>
      <c r="S52" s="22"/>
      <c r="T52" s="22"/>
      <c r="U52" s="22"/>
      <c r="V52" s="22"/>
      <c r="W52" s="23"/>
      <c r="X52" s="21"/>
      <c r="Y52" s="23"/>
      <c r="AA52" s="21"/>
      <c r="AB52" s="22"/>
      <c r="AC52" s="22"/>
      <c r="AD52" s="22"/>
      <c r="AE52" s="22"/>
      <c r="AF52" s="23"/>
      <c r="AG52" s="189"/>
      <c r="AH52" s="21"/>
      <c r="AI52" s="22"/>
      <c r="AJ52" s="22"/>
      <c r="AK52" s="22"/>
      <c r="AL52" s="22"/>
      <c r="AM52" s="23"/>
      <c r="AN52" s="21"/>
      <c r="AO52" s="22"/>
      <c r="AP52" s="22"/>
      <c r="AQ52" s="22"/>
      <c r="AR52" s="22"/>
      <c r="AS52" s="23"/>
      <c r="AT52" s="21"/>
      <c r="AU52" s="23"/>
    </row>
    <row r="54" spans="1:47">
      <c r="A54" s="9"/>
      <c r="B54" s="9"/>
      <c r="C54" s="16"/>
      <c r="D54" s="16"/>
      <c r="E54" s="9" t="b">
        <f>E51=SUMAR!E10</f>
        <v>1</v>
      </c>
      <c r="F54" s="9" t="b">
        <f>F51=SUMAR!F10</f>
        <v>1</v>
      </c>
      <c r="G54" s="9" t="b">
        <f>G51=SUMAR!G10</f>
        <v>1</v>
      </c>
      <c r="H54" s="9" t="b">
        <f>H51=SUMAR!H10</f>
        <v>1</v>
      </c>
      <c r="I54" s="9" t="b">
        <f>ROUND(I51,0)=ROUND(SUMAR!I10,0)</f>
        <v>1</v>
      </c>
      <c r="J54" s="9"/>
      <c r="K54" s="9"/>
      <c r="L54" s="9" t="b">
        <f>L51=SUMAR!L10</f>
        <v>1</v>
      </c>
      <c r="M54" s="9" t="b">
        <f>M51=SUMAR!M10</f>
        <v>1</v>
      </c>
      <c r="N54" s="9" t="b">
        <f>N51=SUMAR!N10</f>
        <v>1</v>
      </c>
      <c r="O54" s="9" t="b">
        <f>O51=SUMAR!O10</f>
        <v>1</v>
      </c>
      <c r="P54" s="9" t="b">
        <f>ROUND(P51,0)=ROUND(SUMAR!P10,0)</f>
        <v>1</v>
      </c>
      <c r="Q54" s="9"/>
      <c r="R54" s="9" t="b">
        <f>R51=SUMAR!R10</f>
        <v>1</v>
      </c>
      <c r="S54" s="9" t="b">
        <f>S51=SUMAR!S10</f>
        <v>1</v>
      </c>
      <c r="T54" s="9" t="b">
        <f>T51=SUMAR!T10</f>
        <v>1</v>
      </c>
      <c r="U54" s="9" t="b">
        <f>U51=SUMAR!U10</f>
        <v>1</v>
      </c>
      <c r="V54" s="9" t="b">
        <f>ROUND(V51,0)=ROUND(SUMAR!V10,0)</f>
        <v>1</v>
      </c>
      <c r="W54" s="9"/>
      <c r="X54" s="9"/>
      <c r="Y54" s="9"/>
      <c r="AA54" s="17" t="b">
        <f>ROUND(AA51,0)=ROUND(SUMAR!AA10,0)</f>
        <v>1</v>
      </c>
      <c r="AB54" s="17" t="b">
        <f>ROUND(AB51,0)=ROUND(SUMAR!AB10,0)</f>
        <v>1</v>
      </c>
      <c r="AC54" s="17" t="b">
        <f>ROUND(AC51,0)=ROUND(SUMAR!AC10,0)</f>
        <v>1</v>
      </c>
      <c r="AD54" s="17" t="b">
        <f>ROUND(AD51,0)=ROUND(SUMAR!AD10,0)</f>
        <v>1</v>
      </c>
      <c r="AE54" s="17" t="b">
        <f>ROUND(AE51,0)=ROUND(SUMAR!AE10,0)</f>
        <v>1</v>
      </c>
      <c r="AF54" s="9"/>
      <c r="AG54" s="9"/>
      <c r="AH54" s="17" t="b">
        <f>ROUND(AH51,0)=ROUND(SUMAR!AH10,0)</f>
        <v>1</v>
      </c>
      <c r="AI54" s="17" t="b">
        <f>ROUND(AI51,0)=ROUND(SUMAR!AI10,0)</f>
        <v>1</v>
      </c>
      <c r="AJ54" s="17" t="b">
        <f>ROUND(AJ51,0)=ROUND(SUMAR!AJ10,0)</f>
        <v>1</v>
      </c>
      <c r="AK54" s="17" t="b">
        <f>ROUND(AK51,0)=ROUND(SUMAR!AK10,0)</f>
        <v>1</v>
      </c>
      <c r="AL54" s="17" t="b">
        <f>ROUND(AL51,0)=ROUND(SUMAR!AL10,0)</f>
        <v>1</v>
      </c>
      <c r="AM54" s="9"/>
      <c r="AN54" s="17" t="b">
        <f>ROUND(AN51,0)=ROUND(SUMAR!AN10,0)</f>
        <v>1</v>
      </c>
      <c r="AO54" s="17" t="b">
        <f>ROUND(AO51,0)=ROUND(SUMAR!AO10,0)</f>
        <v>1</v>
      </c>
      <c r="AP54" s="17" t="b">
        <f>ROUND(AP51,0)=ROUND(SUMAR!AP10,0)</f>
        <v>1</v>
      </c>
      <c r="AQ54" s="17" t="b">
        <f>ROUND(AQ51,0)=ROUND(SUMAR!AQ10,0)</f>
        <v>1</v>
      </c>
      <c r="AR54" s="17" t="b">
        <f>ROUND(AR51,0)=ROUND(SUMAR!AR10,0)</f>
        <v>1</v>
      </c>
      <c r="AS54" s="9"/>
      <c r="AT54" s="9"/>
      <c r="AU54" s="9"/>
    </row>
    <row r="55" spans="1:47">
      <c r="E55" s="7"/>
      <c r="F55" s="7"/>
      <c r="G55" s="7"/>
      <c r="H55" s="7"/>
      <c r="I55" s="7"/>
    </row>
    <row r="56" spans="1:47">
      <c r="E56" s="9"/>
      <c r="F56" s="9"/>
      <c r="G56" s="9"/>
      <c r="H56" s="9"/>
      <c r="I56" s="9"/>
      <c r="J56" s="9"/>
      <c r="K56" s="9"/>
      <c r="L56" s="60"/>
      <c r="M56" s="60"/>
      <c r="N56" s="60"/>
      <c r="O56" s="60"/>
      <c r="P56" s="60"/>
      <c r="Q56" s="9"/>
      <c r="R56" s="9"/>
      <c r="S56" s="9"/>
      <c r="T56" s="9"/>
      <c r="U56" s="9"/>
      <c r="V56" s="9"/>
      <c r="W56" s="9"/>
      <c r="X56" s="9"/>
      <c r="Y56" s="9"/>
      <c r="AG56" s="9"/>
      <c r="AT56" s="9"/>
      <c r="AU56" s="9"/>
    </row>
    <row r="57" spans="1:47">
      <c r="E57" s="7"/>
      <c r="F57" s="7"/>
      <c r="G57" s="7"/>
      <c r="H57" s="7"/>
      <c r="I57" s="7"/>
    </row>
    <row r="58" spans="1:47">
      <c r="E58" s="9"/>
      <c r="F58" s="9"/>
      <c r="G58" s="9"/>
      <c r="H58" s="9"/>
      <c r="I58" s="9"/>
      <c r="J58" s="9"/>
      <c r="K58" s="9"/>
      <c r="L58" s="60"/>
      <c r="M58" s="60"/>
      <c r="N58" s="60"/>
      <c r="O58" s="60"/>
      <c r="P58" s="60"/>
      <c r="Q58" s="9"/>
      <c r="R58" s="9"/>
      <c r="S58" s="9"/>
      <c r="T58" s="9"/>
      <c r="U58" s="9"/>
      <c r="V58" s="9"/>
      <c r="W58" s="9"/>
      <c r="X58" s="9"/>
      <c r="Y58" s="9"/>
      <c r="AG58" s="9"/>
      <c r="AT58" s="9"/>
      <c r="AU58" s="9"/>
    </row>
    <row r="59" spans="1:47">
      <c r="E59" s="7"/>
      <c r="F59" s="7"/>
      <c r="G59" s="7"/>
      <c r="H59" s="7"/>
      <c r="I59" s="7"/>
    </row>
  </sheetData>
  <mergeCells count="61">
    <mergeCell ref="AT1:AU2"/>
    <mergeCell ref="AT3:AT5"/>
    <mergeCell ref="AU3:AU5"/>
    <mergeCell ref="X1:Y2"/>
    <mergeCell ref="X3:X5"/>
    <mergeCell ref="Y3:Y5"/>
    <mergeCell ref="L3:L5"/>
    <mergeCell ref="M3:N3"/>
    <mergeCell ref="O3:O5"/>
    <mergeCell ref="P3:P5"/>
    <mergeCell ref="A50:B52"/>
    <mergeCell ref="A1:A5"/>
    <mergeCell ref="B1:B5"/>
    <mergeCell ref="K1:K2"/>
    <mergeCell ref="K3:K5"/>
    <mergeCell ref="M4:M5"/>
    <mergeCell ref="N4:N5"/>
    <mergeCell ref="S4:S5"/>
    <mergeCell ref="T4:T5"/>
    <mergeCell ref="R3:R5"/>
    <mergeCell ref="S3:T3"/>
    <mergeCell ref="E3:E5"/>
    <mergeCell ref="F3:G3"/>
    <mergeCell ref="H3:H5"/>
    <mergeCell ref="I3:I5"/>
    <mergeCell ref="J3:J5"/>
    <mergeCell ref="F4:F5"/>
    <mergeCell ref="G4:G5"/>
    <mergeCell ref="AN1:AS2"/>
    <mergeCell ref="AB3:AC3"/>
    <mergeCell ref="AD3:AD5"/>
    <mergeCell ref="AE3:AE5"/>
    <mergeCell ref="AF3:AF5"/>
    <mergeCell ref="AH3:AH5"/>
    <mergeCell ref="AI3:AJ3"/>
    <mergeCell ref="AK3:AK5"/>
    <mergeCell ref="AL3:AL5"/>
    <mergeCell ref="AM3:AM5"/>
    <mergeCell ref="AN3:AN5"/>
    <mergeCell ref="AO3:AP3"/>
    <mergeCell ref="AQ3:AQ5"/>
    <mergeCell ref="AR3:AR5"/>
    <mergeCell ref="AS3:AS5"/>
    <mergeCell ref="AB4:AB5"/>
    <mergeCell ref="E1:J2"/>
    <mergeCell ref="L1:Q2"/>
    <mergeCell ref="R1:W2"/>
    <mergeCell ref="AA1:AF2"/>
    <mergeCell ref="AH1:AM2"/>
    <mergeCell ref="AG1:AG2"/>
    <mergeCell ref="AI4:AI5"/>
    <mergeCell ref="AJ4:AJ5"/>
    <mergeCell ref="AO4:AO5"/>
    <mergeCell ref="AP4:AP5"/>
    <mergeCell ref="Q3:Q5"/>
    <mergeCell ref="AC4:AC5"/>
    <mergeCell ref="U3:U5"/>
    <mergeCell ref="V3:V5"/>
    <mergeCell ref="W3:W5"/>
    <mergeCell ref="AA3:AA5"/>
    <mergeCell ref="AG3:AG5"/>
  </mergeCells>
  <printOptions horizontalCentered="1" verticalCentered="1"/>
  <pageMargins left="0.59055118110236227" right="0.51181102362204722" top="0.39370078740157483" bottom="0.19685039370078741" header="0.39370078740157483" footer="0.19685039370078741"/>
  <pageSetup paperSize="9" scale="55" pageOrder="overThenDown" orientation="landscape"/>
  <headerFooter alignWithMargins="0">
    <oddHeader>&amp;C&amp;"Arial CE,tučné"Přehled o vývoji počtu zaměstnanců a objemech mezd od roku  1 9 9 3
za   R O P O  c e l k e m
&amp;R&amp;A   -   &amp;F</oddHeader>
    <oddFooter>&amp;C6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List6"/>
  <dimension ref="A1:AV98"/>
  <sheetViews>
    <sheetView tabSelected="1" zoomScale="90" zoomScaleNormal="90" workbookViewId="0">
      <pane xSplit="3" ySplit="5" topLeftCell="W18" activePane="bottomRight" state="frozen"/>
      <selection activeCell="HC12" sqref="HC12"/>
      <selection pane="topRight" activeCell="HC12" sqref="HC12"/>
      <selection pane="bottomLeft" activeCell="HC12" sqref="HC12"/>
      <selection pane="bottomRight" activeCell="AG1" sqref="AG1:AG1048576"/>
    </sheetView>
  </sheetViews>
  <sheetFormatPr baseColWidth="10" defaultColWidth="11.5" defaultRowHeight="13"/>
  <cols>
    <col min="1" max="1" width="9.33203125" style="6" customWidth="1"/>
    <col min="2" max="2" width="11.6640625" style="6" customWidth="1"/>
    <col min="3" max="3" width="37" style="13" customWidth="1"/>
    <col min="4" max="4" width="3.6640625" style="13" customWidth="1"/>
    <col min="5" max="5" width="15.83203125" style="6" customWidth="1"/>
    <col min="6" max="6" width="12" style="172" customWidth="1"/>
    <col min="7" max="7" width="16.33203125" style="172" customWidth="1"/>
    <col min="8" max="8" width="14.6640625" style="172" customWidth="1"/>
    <col min="9" max="11" width="11.5" style="6" customWidth="1"/>
    <col min="12" max="12" width="14.6640625" style="6" customWidth="1"/>
    <col min="13" max="13" width="12.5" style="6" customWidth="1"/>
    <col min="14" max="14" width="15.6640625" style="6" customWidth="1"/>
    <col min="15" max="15" width="13.33203125" style="6" customWidth="1"/>
    <col min="16" max="17" width="9.1640625" style="6" customWidth="1"/>
    <col min="18" max="18" width="15.33203125" style="6" customWidth="1"/>
    <col min="19" max="19" width="12.33203125" style="6" customWidth="1"/>
    <col min="20" max="20" width="22.5" style="6" bestFit="1" customWidth="1"/>
    <col min="21" max="21" width="14.1640625" style="6" customWidth="1"/>
    <col min="22" max="23" width="9.1640625" style="6" customWidth="1"/>
    <col min="24" max="25" width="11.5" style="6"/>
    <col min="26" max="26" width="9.1640625" customWidth="1"/>
    <col min="27" max="27" width="15" style="6" customWidth="1"/>
    <col min="28" max="28" width="14" style="6" customWidth="1"/>
    <col min="29" max="29" width="16" style="6" customWidth="1"/>
    <col min="30" max="33" width="11.5" style="6"/>
    <col min="34" max="34" width="15.33203125" style="6" customWidth="1"/>
    <col min="35" max="35" width="14.6640625" style="6" customWidth="1"/>
    <col min="36" max="36" width="15.6640625" style="6" customWidth="1"/>
    <col min="37" max="39" width="11.5" style="6"/>
    <col min="40" max="40" width="15" style="6" customWidth="1"/>
    <col min="41" max="41" width="13.33203125" style="6" customWidth="1"/>
    <col min="42" max="42" width="16.5" style="6" customWidth="1"/>
    <col min="43" max="47" width="11.5" style="6"/>
  </cols>
  <sheetData>
    <row r="1" spans="1:47" ht="14" customHeight="1" thickTop="1">
      <c r="A1" s="323" t="s">
        <v>131</v>
      </c>
      <c r="B1" s="348" t="s">
        <v>132</v>
      </c>
      <c r="C1" s="28"/>
      <c r="D1" s="54"/>
      <c r="E1" s="310" t="s">
        <v>220</v>
      </c>
      <c r="F1" s="311"/>
      <c r="G1" s="311"/>
      <c r="H1" s="311"/>
      <c r="I1" s="311"/>
      <c r="J1" s="312"/>
      <c r="K1" s="370" t="s">
        <v>162</v>
      </c>
      <c r="L1" s="310" t="s">
        <v>221</v>
      </c>
      <c r="M1" s="311"/>
      <c r="N1" s="311"/>
      <c r="O1" s="311"/>
      <c r="P1" s="311"/>
      <c r="Q1" s="312"/>
      <c r="R1" s="310" t="s">
        <v>222</v>
      </c>
      <c r="S1" s="311"/>
      <c r="T1" s="311"/>
      <c r="U1" s="311"/>
      <c r="V1" s="311"/>
      <c r="W1" s="312"/>
      <c r="X1" s="372" t="s">
        <v>162</v>
      </c>
      <c r="Y1" s="373"/>
      <c r="AA1" s="310" t="s">
        <v>224</v>
      </c>
      <c r="AB1" s="311"/>
      <c r="AC1" s="311"/>
      <c r="AD1" s="311"/>
      <c r="AE1" s="311"/>
      <c r="AF1" s="312"/>
      <c r="AG1" s="370" t="s">
        <v>162</v>
      </c>
      <c r="AH1" s="310" t="s">
        <v>225</v>
      </c>
      <c r="AI1" s="311"/>
      <c r="AJ1" s="311"/>
      <c r="AK1" s="311"/>
      <c r="AL1" s="311"/>
      <c r="AM1" s="312"/>
      <c r="AN1" s="310" t="s">
        <v>226</v>
      </c>
      <c r="AO1" s="311"/>
      <c r="AP1" s="311"/>
      <c r="AQ1" s="311"/>
      <c r="AR1" s="311"/>
      <c r="AS1" s="312"/>
      <c r="AT1" s="372" t="s">
        <v>162</v>
      </c>
      <c r="AU1" s="373"/>
    </row>
    <row r="2" spans="1:47" ht="26.25" customHeight="1" thickBot="1">
      <c r="A2" s="324"/>
      <c r="B2" s="349"/>
      <c r="C2" s="29"/>
      <c r="D2" s="55"/>
      <c r="E2" s="313"/>
      <c r="F2" s="314"/>
      <c r="G2" s="314"/>
      <c r="H2" s="314"/>
      <c r="I2" s="314"/>
      <c r="J2" s="315"/>
      <c r="K2" s="371"/>
      <c r="L2" s="313"/>
      <c r="M2" s="314"/>
      <c r="N2" s="314"/>
      <c r="O2" s="314"/>
      <c r="P2" s="314"/>
      <c r="Q2" s="315"/>
      <c r="R2" s="313"/>
      <c r="S2" s="314"/>
      <c r="T2" s="314"/>
      <c r="U2" s="314"/>
      <c r="V2" s="314"/>
      <c r="W2" s="315"/>
      <c r="X2" s="374"/>
      <c r="Y2" s="375"/>
      <c r="AA2" s="313"/>
      <c r="AB2" s="314"/>
      <c r="AC2" s="314"/>
      <c r="AD2" s="314"/>
      <c r="AE2" s="314"/>
      <c r="AF2" s="315"/>
      <c r="AG2" s="371"/>
      <c r="AH2" s="313"/>
      <c r="AI2" s="314"/>
      <c r="AJ2" s="314"/>
      <c r="AK2" s="314"/>
      <c r="AL2" s="314"/>
      <c r="AM2" s="315"/>
      <c r="AN2" s="313"/>
      <c r="AO2" s="314"/>
      <c r="AP2" s="314"/>
      <c r="AQ2" s="314"/>
      <c r="AR2" s="314"/>
      <c r="AS2" s="315"/>
      <c r="AT2" s="374"/>
      <c r="AU2" s="375"/>
    </row>
    <row r="3" spans="1:47" ht="14" customHeight="1" thickBot="1">
      <c r="A3" s="324"/>
      <c r="B3" s="349"/>
      <c r="C3" s="30" t="s">
        <v>0</v>
      </c>
      <c r="D3" s="56"/>
      <c r="E3" s="392" t="s">
        <v>181</v>
      </c>
      <c r="F3" s="385" t="s">
        <v>1</v>
      </c>
      <c r="G3" s="386"/>
      <c r="H3" s="387" t="s">
        <v>134</v>
      </c>
      <c r="I3" s="329" t="s">
        <v>183</v>
      </c>
      <c r="J3" s="332" t="s">
        <v>135</v>
      </c>
      <c r="K3" s="382" t="s">
        <v>149</v>
      </c>
      <c r="L3" s="337" t="s">
        <v>181</v>
      </c>
      <c r="M3" s="340" t="s">
        <v>1</v>
      </c>
      <c r="N3" s="341"/>
      <c r="O3" s="329" t="s">
        <v>134</v>
      </c>
      <c r="P3" s="329" t="s">
        <v>183</v>
      </c>
      <c r="Q3" s="332" t="s">
        <v>135</v>
      </c>
      <c r="R3" s="337" t="s">
        <v>181</v>
      </c>
      <c r="S3" s="340" t="s">
        <v>1</v>
      </c>
      <c r="T3" s="341"/>
      <c r="U3" s="329" t="s">
        <v>134</v>
      </c>
      <c r="V3" s="329" t="s">
        <v>183</v>
      </c>
      <c r="W3" s="332" t="s">
        <v>135</v>
      </c>
      <c r="X3" s="376" t="s">
        <v>150</v>
      </c>
      <c r="Y3" s="379" t="s">
        <v>151</v>
      </c>
      <c r="AA3" s="392" t="s">
        <v>181</v>
      </c>
      <c r="AB3" s="385" t="s">
        <v>1</v>
      </c>
      <c r="AC3" s="386"/>
      <c r="AD3" s="387" t="s">
        <v>134</v>
      </c>
      <c r="AE3" s="329" t="s">
        <v>183</v>
      </c>
      <c r="AF3" s="332" t="s">
        <v>135</v>
      </c>
      <c r="AG3" s="382" t="s">
        <v>149</v>
      </c>
      <c r="AH3" s="337" t="s">
        <v>181</v>
      </c>
      <c r="AI3" s="340" t="s">
        <v>1</v>
      </c>
      <c r="AJ3" s="341"/>
      <c r="AK3" s="329" t="s">
        <v>134</v>
      </c>
      <c r="AL3" s="329" t="s">
        <v>183</v>
      </c>
      <c r="AM3" s="332" t="s">
        <v>135</v>
      </c>
      <c r="AN3" s="337" t="s">
        <v>181</v>
      </c>
      <c r="AO3" s="340" t="s">
        <v>1</v>
      </c>
      <c r="AP3" s="341"/>
      <c r="AQ3" s="329" t="s">
        <v>134</v>
      </c>
      <c r="AR3" s="329" t="s">
        <v>183</v>
      </c>
      <c r="AS3" s="332" t="s">
        <v>135</v>
      </c>
      <c r="AT3" s="376" t="s">
        <v>150</v>
      </c>
      <c r="AU3" s="379" t="s">
        <v>151</v>
      </c>
    </row>
    <row r="4" spans="1:47" ht="12.75" customHeight="1">
      <c r="A4" s="324"/>
      <c r="B4" s="349"/>
      <c r="C4" s="31" t="s">
        <v>2</v>
      </c>
      <c r="D4" s="57"/>
      <c r="E4" s="393"/>
      <c r="F4" s="390" t="s">
        <v>182</v>
      </c>
      <c r="G4" s="387" t="s">
        <v>133</v>
      </c>
      <c r="H4" s="388"/>
      <c r="I4" s="330"/>
      <c r="J4" s="333"/>
      <c r="K4" s="383"/>
      <c r="L4" s="338"/>
      <c r="M4" s="335" t="s">
        <v>182</v>
      </c>
      <c r="N4" s="329" t="s">
        <v>133</v>
      </c>
      <c r="O4" s="330"/>
      <c r="P4" s="330"/>
      <c r="Q4" s="333"/>
      <c r="R4" s="338"/>
      <c r="S4" s="335" t="s">
        <v>182</v>
      </c>
      <c r="T4" s="329" t="s">
        <v>133</v>
      </c>
      <c r="U4" s="330"/>
      <c r="V4" s="330"/>
      <c r="W4" s="333"/>
      <c r="X4" s="377"/>
      <c r="Y4" s="380"/>
      <c r="AA4" s="393"/>
      <c r="AB4" s="390" t="s">
        <v>182</v>
      </c>
      <c r="AC4" s="387" t="s">
        <v>133</v>
      </c>
      <c r="AD4" s="388"/>
      <c r="AE4" s="330"/>
      <c r="AF4" s="333"/>
      <c r="AG4" s="383"/>
      <c r="AH4" s="338"/>
      <c r="AI4" s="335" t="s">
        <v>182</v>
      </c>
      <c r="AJ4" s="329" t="s">
        <v>133</v>
      </c>
      <c r="AK4" s="330"/>
      <c r="AL4" s="330"/>
      <c r="AM4" s="333"/>
      <c r="AN4" s="338"/>
      <c r="AO4" s="335" t="s">
        <v>182</v>
      </c>
      <c r="AP4" s="329" t="s">
        <v>133</v>
      </c>
      <c r="AQ4" s="330"/>
      <c r="AR4" s="330"/>
      <c r="AS4" s="333"/>
      <c r="AT4" s="377"/>
      <c r="AU4" s="380"/>
    </row>
    <row r="5" spans="1:47" ht="32" customHeight="1" thickBot="1">
      <c r="A5" s="325"/>
      <c r="B5" s="350"/>
      <c r="C5" s="32"/>
      <c r="D5" s="56"/>
      <c r="E5" s="394"/>
      <c r="F5" s="391"/>
      <c r="G5" s="389"/>
      <c r="H5" s="389"/>
      <c r="I5" s="331"/>
      <c r="J5" s="334"/>
      <c r="K5" s="384"/>
      <c r="L5" s="339"/>
      <c r="M5" s="336"/>
      <c r="N5" s="331"/>
      <c r="O5" s="331"/>
      <c r="P5" s="331"/>
      <c r="Q5" s="334"/>
      <c r="R5" s="339"/>
      <c r="S5" s="336"/>
      <c r="T5" s="331"/>
      <c r="U5" s="331"/>
      <c r="V5" s="331"/>
      <c r="W5" s="334"/>
      <c r="X5" s="378"/>
      <c r="Y5" s="381"/>
      <c r="AA5" s="394"/>
      <c r="AB5" s="391"/>
      <c r="AC5" s="389"/>
      <c r="AD5" s="389"/>
      <c r="AE5" s="331"/>
      <c r="AF5" s="334"/>
      <c r="AG5" s="384"/>
      <c r="AH5" s="339"/>
      <c r="AI5" s="336"/>
      <c r="AJ5" s="331"/>
      <c r="AK5" s="331"/>
      <c r="AL5" s="331"/>
      <c r="AM5" s="334"/>
      <c r="AN5" s="339"/>
      <c r="AO5" s="336"/>
      <c r="AP5" s="331"/>
      <c r="AQ5" s="331"/>
      <c r="AR5" s="331"/>
      <c r="AS5" s="334"/>
      <c r="AT5" s="378"/>
      <c r="AU5" s="381"/>
    </row>
    <row r="6" spans="1:47" ht="18" customHeight="1" thickTop="1">
      <c r="A6" s="65">
        <v>301</v>
      </c>
      <c r="B6" s="68" t="s">
        <v>3</v>
      </c>
      <c r="C6" s="33" t="s">
        <v>4</v>
      </c>
      <c r="D6" s="41"/>
      <c r="E6" s="75">
        <v>0</v>
      </c>
      <c r="F6" s="76">
        <v>0</v>
      </c>
      <c r="G6" s="76">
        <v>0</v>
      </c>
      <c r="H6" s="76">
        <v>0</v>
      </c>
      <c r="I6" s="76">
        <v>0</v>
      </c>
      <c r="J6" s="77">
        <f t="shared" ref="J6:J49" si="0">RANK(I6,I$6:I$49,0)</f>
        <v>33</v>
      </c>
      <c r="K6" s="432"/>
      <c r="L6" s="75">
        <v>0</v>
      </c>
      <c r="M6" s="76">
        <v>0</v>
      </c>
      <c r="N6" s="76">
        <v>0</v>
      </c>
      <c r="O6" s="76">
        <v>0</v>
      </c>
      <c r="P6" s="76">
        <v>0</v>
      </c>
      <c r="Q6" s="77">
        <f t="shared" ref="Q6:Q42" si="1">RANK(P6,P$6:P$49,0)</f>
        <v>32</v>
      </c>
      <c r="R6" s="75">
        <v>0</v>
      </c>
      <c r="S6" s="76">
        <v>0</v>
      </c>
      <c r="T6" s="76">
        <v>0</v>
      </c>
      <c r="U6" s="76">
        <v>0</v>
      </c>
      <c r="V6" s="76">
        <v>0</v>
      </c>
      <c r="W6" s="77">
        <f t="shared" ref="W6:W42" si="2">RANK(V6,V$6:V$49,0)</f>
        <v>32</v>
      </c>
      <c r="X6" s="37"/>
      <c r="Y6" s="38"/>
      <c r="AA6" s="75">
        <v>0</v>
      </c>
      <c r="AB6" s="76">
        <v>0</v>
      </c>
      <c r="AC6" s="76">
        <v>0</v>
      </c>
      <c r="AD6" s="76">
        <v>0</v>
      </c>
      <c r="AE6" s="76">
        <v>0</v>
      </c>
      <c r="AF6" s="77">
        <f t="shared" ref="AF6:AF42" si="3">RANK(AE6,AE$6:AE$49,0)</f>
        <v>32</v>
      </c>
      <c r="AG6" s="432"/>
      <c r="AH6" s="75">
        <v>0</v>
      </c>
      <c r="AI6" s="76">
        <v>0</v>
      </c>
      <c r="AJ6" s="76">
        <v>0</v>
      </c>
      <c r="AK6" s="76">
        <v>0</v>
      </c>
      <c r="AL6" s="76">
        <v>0</v>
      </c>
      <c r="AM6" s="77">
        <f t="shared" ref="AM6:AM42" si="4">RANK(AL6,AL$6:AL$49,0)</f>
        <v>32</v>
      </c>
      <c r="AN6" s="75">
        <v>0</v>
      </c>
      <c r="AO6" s="76">
        <v>0</v>
      </c>
      <c r="AP6" s="76">
        <v>0</v>
      </c>
      <c r="AQ6" s="76">
        <v>0</v>
      </c>
      <c r="AR6" s="76">
        <v>0</v>
      </c>
      <c r="AS6" s="77">
        <f t="shared" ref="AS6:AS42" si="5">RANK(AR6,AR$6:AR$49,0)</f>
        <v>32</v>
      </c>
      <c r="AT6" s="37">
        <v>115.9724901831718</v>
      </c>
      <c r="AU6" s="38">
        <v>102.40099406766075</v>
      </c>
    </row>
    <row r="7" spans="1:47" ht="18" customHeight="1">
      <c r="A7" s="65">
        <v>302</v>
      </c>
      <c r="B7" s="68" t="s">
        <v>5</v>
      </c>
      <c r="C7" s="33" t="s">
        <v>6</v>
      </c>
      <c r="D7" s="41"/>
      <c r="E7" s="75">
        <v>0</v>
      </c>
      <c r="F7" s="76">
        <v>0</v>
      </c>
      <c r="G7" s="76">
        <v>0</v>
      </c>
      <c r="H7" s="76">
        <v>0</v>
      </c>
      <c r="I7" s="76">
        <v>0</v>
      </c>
      <c r="J7" s="77">
        <f t="shared" si="0"/>
        <v>33</v>
      </c>
      <c r="K7" s="432"/>
      <c r="L7" s="24">
        <v>0</v>
      </c>
      <c r="M7" s="14">
        <v>0</v>
      </c>
      <c r="N7" s="14">
        <v>0</v>
      </c>
      <c r="O7" s="14">
        <v>0</v>
      </c>
      <c r="P7" s="14">
        <v>0</v>
      </c>
      <c r="Q7" s="77">
        <f t="shared" si="1"/>
        <v>32</v>
      </c>
      <c r="R7" s="24">
        <v>0</v>
      </c>
      <c r="S7" s="14">
        <v>0</v>
      </c>
      <c r="T7" s="14">
        <v>0</v>
      </c>
      <c r="U7" s="14">
        <v>0</v>
      </c>
      <c r="V7" s="14">
        <v>0</v>
      </c>
      <c r="W7" s="77">
        <f t="shared" si="2"/>
        <v>32</v>
      </c>
      <c r="X7" s="37"/>
      <c r="Y7" s="38"/>
      <c r="AA7" s="75">
        <v>0</v>
      </c>
      <c r="AB7" s="76">
        <v>0</v>
      </c>
      <c r="AC7" s="76">
        <v>0</v>
      </c>
      <c r="AD7" s="76">
        <v>0</v>
      </c>
      <c r="AE7" s="76">
        <v>0</v>
      </c>
      <c r="AF7" s="77">
        <f t="shared" si="3"/>
        <v>32</v>
      </c>
      <c r="AG7" s="432"/>
      <c r="AH7" s="24">
        <v>0</v>
      </c>
      <c r="AI7" s="14">
        <v>0</v>
      </c>
      <c r="AJ7" s="14">
        <v>0</v>
      </c>
      <c r="AK7" s="14">
        <v>0</v>
      </c>
      <c r="AL7" s="14">
        <v>0</v>
      </c>
      <c r="AM7" s="77">
        <f t="shared" si="4"/>
        <v>32</v>
      </c>
      <c r="AN7" s="24">
        <v>0</v>
      </c>
      <c r="AO7" s="14">
        <v>0</v>
      </c>
      <c r="AP7" s="14">
        <v>0</v>
      </c>
      <c r="AQ7" s="14">
        <v>0</v>
      </c>
      <c r="AR7" s="14">
        <v>0</v>
      </c>
      <c r="AS7" s="77">
        <f t="shared" si="5"/>
        <v>32</v>
      </c>
      <c r="AT7" s="37"/>
      <c r="AU7" s="38"/>
    </row>
    <row r="8" spans="1:47" ht="18" customHeight="1">
      <c r="A8" s="65">
        <v>303</v>
      </c>
      <c r="B8" s="68" t="s">
        <v>7</v>
      </c>
      <c r="C8" s="33" t="s">
        <v>8</v>
      </c>
      <c r="D8" s="41"/>
      <c r="E8" s="75">
        <v>0</v>
      </c>
      <c r="F8" s="76">
        <v>0</v>
      </c>
      <c r="G8" s="76">
        <v>0</v>
      </c>
      <c r="H8" s="76">
        <v>0</v>
      </c>
      <c r="I8" s="76">
        <v>0</v>
      </c>
      <c r="J8" s="77">
        <f t="shared" si="0"/>
        <v>33</v>
      </c>
      <c r="K8" s="432"/>
      <c r="L8" s="24">
        <v>0</v>
      </c>
      <c r="M8" s="14">
        <v>0</v>
      </c>
      <c r="N8" s="14">
        <v>0</v>
      </c>
      <c r="O8" s="14">
        <v>0</v>
      </c>
      <c r="P8" s="14">
        <v>0</v>
      </c>
      <c r="Q8" s="77">
        <f t="shared" si="1"/>
        <v>32</v>
      </c>
      <c r="R8" s="24">
        <v>0</v>
      </c>
      <c r="S8" s="14">
        <v>0</v>
      </c>
      <c r="T8" s="14">
        <v>0</v>
      </c>
      <c r="U8" s="14">
        <v>0</v>
      </c>
      <c r="V8" s="14">
        <v>0</v>
      </c>
      <c r="W8" s="77">
        <f t="shared" si="2"/>
        <v>32</v>
      </c>
      <c r="X8" s="37"/>
      <c r="Y8" s="38"/>
      <c r="AA8" s="75">
        <v>0</v>
      </c>
      <c r="AB8" s="76">
        <v>0</v>
      </c>
      <c r="AC8" s="76">
        <v>0</v>
      </c>
      <c r="AD8" s="76">
        <v>0</v>
      </c>
      <c r="AE8" s="76">
        <v>0</v>
      </c>
      <c r="AF8" s="77">
        <f t="shared" si="3"/>
        <v>32</v>
      </c>
      <c r="AG8" s="432"/>
      <c r="AH8" s="24">
        <v>0</v>
      </c>
      <c r="AI8" s="14">
        <v>0</v>
      </c>
      <c r="AJ8" s="14">
        <v>0</v>
      </c>
      <c r="AK8" s="14">
        <v>0</v>
      </c>
      <c r="AL8" s="14">
        <v>0</v>
      </c>
      <c r="AM8" s="77">
        <f t="shared" si="4"/>
        <v>32</v>
      </c>
      <c r="AN8" s="24">
        <v>0</v>
      </c>
      <c r="AO8" s="14">
        <v>0</v>
      </c>
      <c r="AP8" s="14">
        <v>0</v>
      </c>
      <c r="AQ8" s="14">
        <v>0</v>
      </c>
      <c r="AR8" s="14">
        <v>0</v>
      </c>
      <c r="AS8" s="77">
        <f t="shared" si="5"/>
        <v>32</v>
      </c>
      <c r="AT8" s="37"/>
      <c r="AU8" s="38"/>
    </row>
    <row r="9" spans="1:47" ht="18" customHeight="1">
      <c r="A9" s="65">
        <v>304</v>
      </c>
      <c r="B9" s="68" t="s">
        <v>9</v>
      </c>
      <c r="C9" s="33" t="s">
        <v>10</v>
      </c>
      <c r="D9" s="41"/>
      <c r="E9" s="75">
        <v>465704149</v>
      </c>
      <c r="F9" s="76">
        <v>75110024</v>
      </c>
      <c r="G9" s="76">
        <v>390594125</v>
      </c>
      <c r="H9" s="76">
        <v>589</v>
      </c>
      <c r="I9" s="76">
        <v>55262</v>
      </c>
      <c r="J9" s="77">
        <f t="shared" si="0"/>
        <v>9</v>
      </c>
      <c r="K9" s="432"/>
      <c r="L9" s="24">
        <v>517187881</v>
      </c>
      <c r="M9" s="14">
        <v>85705212</v>
      </c>
      <c r="N9" s="14">
        <v>431482669</v>
      </c>
      <c r="O9" s="14">
        <v>583.79</v>
      </c>
      <c r="P9" s="14">
        <v>61592</v>
      </c>
      <c r="Q9" s="77">
        <f t="shared" si="1"/>
        <v>4</v>
      </c>
      <c r="R9" s="24">
        <v>512218563</v>
      </c>
      <c r="S9" s="14">
        <v>92244335</v>
      </c>
      <c r="T9" s="14">
        <v>419974228</v>
      </c>
      <c r="U9" s="14">
        <v>549.44000000000005</v>
      </c>
      <c r="V9" s="14">
        <v>63697</v>
      </c>
      <c r="W9" s="77">
        <f t="shared" si="2"/>
        <v>6</v>
      </c>
      <c r="X9" s="37"/>
      <c r="Y9" s="38"/>
      <c r="AA9" s="75">
        <v>504163458</v>
      </c>
      <c r="AB9" s="76">
        <v>91738048</v>
      </c>
      <c r="AC9" s="76">
        <v>412425410</v>
      </c>
      <c r="AD9" s="76">
        <v>596.5</v>
      </c>
      <c r="AE9" s="76">
        <v>57617</v>
      </c>
      <c r="AF9" s="77">
        <f t="shared" si="3"/>
        <v>12</v>
      </c>
      <c r="AG9" s="432"/>
      <c r="AH9" s="24">
        <v>507542726</v>
      </c>
      <c r="AI9" s="14">
        <v>89538748</v>
      </c>
      <c r="AJ9" s="14">
        <v>418003978</v>
      </c>
      <c r="AK9" s="14">
        <v>584.25</v>
      </c>
      <c r="AL9" s="14">
        <v>59621</v>
      </c>
      <c r="AM9" s="77">
        <f t="shared" si="4"/>
        <v>7</v>
      </c>
      <c r="AN9" s="24">
        <v>518695257</v>
      </c>
      <c r="AO9" s="14">
        <v>79745871</v>
      </c>
      <c r="AP9" s="14">
        <v>438949386</v>
      </c>
      <c r="AQ9" s="14">
        <v>540.19000000000005</v>
      </c>
      <c r="AR9" s="14">
        <v>67715</v>
      </c>
      <c r="AS9" s="77">
        <f t="shared" si="5"/>
        <v>5</v>
      </c>
      <c r="AT9" s="37"/>
      <c r="AU9" s="38"/>
    </row>
    <row r="10" spans="1:47" ht="18" customHeight="1">
      <c r="A10" s="65">
        <v>306</v>
      </c>
      <c r="B10" s="68" t="s">
        <v>11</v>
      </c>
      <c r="C10" s="33" t="s">
        <v>12</v>
      </c>
      <c r="D10" s="41"/>
      <c r="E10" s="75">
        <v>1096358435</v>
      </c>
      <c r="F10" s="76">
        <v>7918296</v>
      </c>
      <c r="G10" s="76">
        <v>1088440139</v>
      </c>
      <c r="H10" s="76">
        <v>2014</v>
      </c>
      <c r="I10" s="76">
        <v>45036</v>
      </c>
      <c r="J10" s="77">
        <f t="shared" si="0"/>
        <v>27</v>
      </c>
      <c r="K10" s="432"/>
      <c r="L10" s="24">
        <v>1092352515</v>
      </c>
      <c r="M10" s="14">
        <v>7918296</v>
      </c>
      <c r="N10" s="14">
        <v>1084434219</v>
      </c>
      <c r="O10" s="14">
        <v>2007.66</v>
      </c>
      <c r="P10" s="14">
        <v>45012</v>
      </c>
      <c r="Q10" s="77">
        <f t="shared" si="1"/>
        <v>28</v>
      </c>
      <c r="R10" s="24">
        <v>1089397609</v>
      </c>
      <c r="S10" s="14">
        <v>8725290</v>
      </c>
      <c r="T10" s="14">
        <v>1080672319</v>
      </c>
      <c r="U10" s="14">
        <v>1835.3899999999999</v>
      </c>
      <c r="V10" s="14">
        <v>49066</v>
      </c>
      <c r="W10" s="77">
        <f t="shared" si="2"/>
        <v>27</v>
      </c>
      <c r="X10" s="37"/>
      <c r="Y10" s="38"/>
      <c r="AA10" s="75">
        <v>1145139791</v>
      </c>
      <c r="AB10" s="76">
        <v>8238696</v>
      </c>
      <c r="AC10" s="76">
        <v>1136901095</v>
      </c>
      <c r="AD10" s="76">
        <v>2004</v>
      </c>
      <c r="AE10" s="76">
        <v>47276</v>
      </c>
      <c r="AF10" s="77">
        <f t="shared" si="3"/>
        <v>29</v>
      </c>
      <c r="AG10" s="432"/>
      <c r="AH10" s="24">
        <v>1141106072</v>
      </c>
      <c r="AI10" s="14">
        <v>10702192</v>
      </c>
      <c r="AJ10" s="14">
        <v>1130403880</v>
      </c>
      <c r="AK10" s="14">
        <v>2003.75</v>
      </c>
      <c r="AL10" s="14">
        <v>47012</v>
      </c>
      <c r="AM10" s="77">
        <f t="shared" si="4"/>
        <v>30</v>
      </c>
      <c r="AN10" s="24">
        <v>1135771903.3900001</v>
      </c>
      <c r="AO10" s="14">
        <v>7827759.3900000006</v>
      </c>
      <c r="AP10" s="14">
        <v>1127944144</v>
      </c>
      <c r="AQ10" s="14">
        <v>1840.66</v>
      </c>
      <c r="AR10" s="14">
        <v>51066</v>
      </c>
      <c r="AS10" s="77">
        <f t="shared" si="5"/>
        <v>29</v>
      </c>
      <c r="AT10" s="37"/>
      <c r="AU10" s="38"/>
    </row>
    <row r="11" spans="1:47" ht="18" customHeight="1">
      <c r="A11" s="65">
        <v>307</v>
      </c>
      <c r="B11" s="68" t="s">
        <v>13</v>
      </c>
      <c r="C11" s="33" t="s">
        <v>14</v>
      </c>
      <c r="D11" s="41"/>
      <c r="E11" s="75">
        <v>1391209411</v>
      </c>
      <c r="F11" s="76">
        <v>43579040</v>
      </c>
      <c r="G11" s="76">
        <v>1347630371</v>
      </c>
      <c r="H11" s="76">
        <v>1857</v>
      </c>
      <c r="I11" s="76">
        <v>60475</v>
      </c>
      <c r="J11" s="77">
        <f t="shared" si="0"/>
        <v>4</v>
      </c>
      <c r="K11" s="432"/>
      <c r="L11" s="24">
        <v>1418575454</v>
      </c>
      <c r="M11" s="14">
        <v>43622040</v>
      </c>
      <c r="N11" s="14">
        <v>1374953414</v>
      </c>
      <c r="O11" s="14">
        <v>1857</v>
      </c>
      <c r="P11" s="14">
        <v>61701</v>
      </c>
      <c r="Q11" s="77">
        <f t="shared" si="1"/>
        <v>3</v>
      </c>
      <c r="R11" s="24">
        <v>1361242106</v>
      </c>
      <c r="S11" s="14">
        <v>47958513</v>
      </c>
      <c r="T11" s="14">
        <v>1313283593</v>
      </c>
      <c r="U11" s="14">
        <v>1649.71</v>
      </c>
      <c r="V11" s="14">
        <v>66339</v>
      </c>
      <c r="W11" s="77">
        <f t="shared" si="2"/>
        <v>4</v>
      </c>
      <c r="X11" s="37"/>
      <c r="Y11" s="38"/>
      <c r="AA11" s="75">
        <v>1470278995</v>
      </c>
      <c r="AB11" s="76">
        <v>23899440</v>
      </c>
      <c r="AC11" s="76">
        <v>1446379555</v>
      </c>
      <c r="AD11" s="76">
        <v>1860</v>
      </c>
      <c r="AE11" s="76">
        <v>64802</v>
      </c>
      <c r="AF11" s="77">
        <f t="shared" si="3"/>
        <v>4</v>
      </c>
      <c r="AG11" s="432"/>
      <c r="AH11" s="24">
        <v>1430245125</v>
      </c>
      <c r="AI11" s="14">
        <v>23915440</v>
      </c>
      <c r="AJ11" s="14">
        <v>1406329685</v>
      </c>
      <c r="AK11" s="14">
        <v>1860</v>
      </c>
      <c r="AL11" s="14">
        <v>63008</v>
      </c>
      <c r="AM11" s="77">
        <f t="shared" si="4"/>
        <v>5</v>
      </c>
      <c r="AN11" s="24">
        <v>1442671512</v>
      </c>
      <c r="AO11" s="14">
        <v>45149120</v>
      </c>
      <c r="AP11" s="14">
        <v>1397522392</v>
      </c>
      <c r="AQ11" s="14">
        <v>1661.1999999999998</v>
      </c>
      <c r="AR11" s="14">
        <v>70106</v>
      </c>
      <c r="AS11" s="77">
        <f t="shared" si="5"/>
        <v>3</v>
      </c>
      <c r="AT11" s="37"/>
      <c r="AU11" s="38"/>
    </row>
    <row r="12" spans="1:47" ht="18" customHeight="1">
      <c r="A12" s="65">
        <v>308</v>
      </c>
      <c r="B12" s="68" t="s">
        <v>80</v>
      </c>
      <c r="C12" s="33" t="s">
        <v>81</v>
      </c>
      <c r="D12" s="41"/>
      <c r="E12" s="75">
        <v>169118073</v>
      </c>
      <c r="F12" s="76">
        <v>1420438</v>
      </c>
      <c r="G12" s="76">
        <v>167697635</v>
      </c>
      <c r="H12" s="76">
        <v>262</v>
      </c>
      <c r="I12" s="76">
        <v>53339</v>
      </c>
      <c r="J12" s="77">
        <f t="shared" si="0"/>
        <v>13</v>
      </c>
      <c r="K12" s="432"/>
      <c r="L12" s="24">
        <v>171118073</v>
      </c>
      <c r="M12" s="14">
        <v>1420438</v>
      </c>
      <c r="N12" s="14">
        <v>169697635</v>
      </c>
      <c r="O12" s="14">
        <v>262</v>
      </c>
      <c r="P12" s="14">
        <v>53975</v>
      </c>
      <c r="Q12" s="77">
        <f t="shared" si="1"/>
        <v>14</v>
      </c>
      <c r="R12" s="24">
        <v>163305774</v>
      </c>
      <c r="S12" s="14">
        <v>1287300</v>
      </c>
      <c r="T12" s="14">
        <v>162018474</v>
      </c>
      <c r="U12" s="14">
        <v>235.18</v>
      </c>
      <c r="V12" s="14">
        <v>57409</v>
      </c>
      <c r="W12" s="77">
        <f t="shared" si="2"/>
        <v>18</v>
      </c>
      <c r="X12" s="37"/>
      <c r="Y12" s="38"/>
      <c r="AA12" s="75">
        <v>177502955</v>
      </c>
      <c r="AB12" s="76">
        <v>1420438</v>
      </c>
      <c r="AC12" s="76">
        <v>176082517</v>
      </c>
      <c r="AD12" s="76">
        <v>262</v>
      </c>
      <c r="AE12" s="76">
        <v>56006</v>
      </c>
      <c r="AF12" s="77">
        <f t="shared" si="3"/>
        <v>16</v>
      </c>
      <c r="AG12" s="432"/>
      <c r="AH12" s="24">
        <v>184411290</v>
      </c>
      <c r="AI12" s="14">
        <v>1420438</v>
      </c>
      <c r="AJ12" s="14">
        <v>182990852</v>
      </c>
      <c r="AK12" s="14">
        <v>262</v>
      </c>
      <c r="AL12" s="14">
        <v>58203</v>
      </c>
      <c r="AM12" s="77">
        <f t="shared" si="4"/>
        <v>10</v>
      </c>
      <c r="AN12" s="24">
        <v>182091638</v>
      </c>
      <c r="AO12" s="14">
        <v>2626566</v>
      </c>
      <c r="AP12" s="14">
        <v>179465072</v>
      </c>
      <c r="AQ12" s="14">
        <v>232.85</v>
      </c>
      <c r="AR12" s="14">
        <v>64228</v>
      </c>
      <c r="AS12" s="77">
        <f t="shared" si="5"/>
        <v>9</v>
      </c>
      <c r="AT12" s="37"/>
      <c r="AU12" s="38"/>
    </row>
    <row r="13" spans="1:47" ht="18" customHeight="1">
      <c r="A13" s="65">
        <v>309</v>
      </c>
      <c r="B13" s="68" t="s">
        <v>82</v>
      </c>
      <c r="C13" s="33" t="s">
        <v>91</v>
      </c>
      <c r="D13" s="41"/>
      <c r="E13" s="75">
        <v>0</v>
      </c>
      <c r="F13" s="76">
        <v>0</v>
      </c>
      <c r="G13" s="76">
        <v>0</v>
      </c>
      <c r="H13" s="76">
        <v>0</v>
      </c>
      <c r="I13" s="76">
        <v>0</v>
      </c>
      <c r="J13" s="77">
        <f t="shared" si="0"/>
        <v>33</v>
      </c>
      <c r="K13" s="432"/>
      <c r="L13" s="24">
        <v>0</v>
      </c>
      <c r="M13" s="14">
        <v>0</v>
      </c>
      <c r="N13" s="14">
        <v>0</v>
      </c>
      <c r="O13" s="14">
        <v>0</v>
      </c>
      <c r="P13" s="14">
        <v>0</v>
      </c>
      <c r="Q13" s="77">
        <f t="shared" si="1"/>
        <v>32</v>
      </c>
      <c r="R13" s="24">
        <v>0</v>
      </c>
      <c r="S13" s="14">
        <v>0</v>
      </c>
      <c r="T13" s="14">
        <v>0</v>
      </c>
      <c r="U13" s="14">
        <v>0</v>
      </c>
      <c r="V13" s="14">
        <v>0</v>
      </c>
      <c r="W13" s="77">
        <f t="shared" si="2"/>
        <v>32</v>
      </c>
      <c r="X13" s="37"/>
      <c r="Y13" s="38"/>
      <c r="AA13" s="75">
        <v>0</v>
      </c>
      <c r="AB13" s="76">
        <v>0</v>
      </c>
      <c r="AC13" s="76">
        <v>0</v>
      </c>
      <c r="AD13" s="76">
        <v>0</v>
      </c>
      <c r="AE13" s="76">
        <v>0</v>
      </c>
      <c r="AF13" s="77">
        <f t="shared" si="3"/>
        <v>32</v>
      </c>
      <c r="AG13" s="432"/>
      <c r="AH13" s="24">
        <v>0</v>
      </c>
      <c r="AI13" s="14">
        <v>0</v>
      </c>
      <c r="AJ13" s="14">
        <v>0</v>
      </c>
      <c r="AK13" s="14">
        <v>0</v>
      </c>
      <c r="AL13" s="14">
        <v>0</v>
      </c>
      <c r="AM13" s="77">
        <f t="shared" si="4"/>
        <v>32</v>
      </c>
      <c r="AN13" s="24">
        <v>0</v>
      </c>
      <c r="AO13" s="14">
        <v>0</v>
      </c>
      <c r="AP13" s="14">
        <v>0</v>
      </c>
      <c r="AQ13" s="14">
        <v>0</v>
      </c>
      <c r="AR13" s="14">
        <v>0</v>
      </c>
      <c r="AS13" s="77">
        <f t="shared" si="5"/>
        <v>32</v>
      </c>
      <c r="AT13" s="37"/>
      <c r="AU13" s="38"/>
    </row>
    <row r="14" spans="1:47" ht="18" customHeight="1">
      <c r="A14" s="65">
        <v>312</v>
      </c>
      <c r="B14" s="68" t="s">
        <v>15</v>
      </c>
      <c r="C14" s="33" t="s">
        <v>16</v>
      </c>
      <c r="D14" s="41"/>
      <c r="E14" s="75">
        <v>1054138660</v>
      </c>
      <c r="F14" s="76">
        <v>21584667</v>
      </c>
      <c r="G14" s="76">
        <v>1032553993</v>
      </c>
      <c r="H14" s="76">
        <v>1420</v>
      </c>
      <c r="I14" s="76">
        <v>60596</v>
      </c>
      <c r="J14" s="77">
        <f t="shared" si="0"/>
        <v>3</v>
      </c>
      <c r="K14" s="432"/>
      <c r="L14" s="24">
        <v>1058518444</v>
      </c>
      <c r="M14" s="14">
        <v>21896905</v>
      </c>
      <c r="N14" s="14">
        <v>1036621539</v>
      </c>
      <c r="O14" s="14">
        <v>1409.87</v>
      </c>
      <c r="P14" s="14">
        <v>61272</v>
      </c>
      <c r="Q14" s="77">
        <f t="shared" si="1"/>
        <v>5</v>
      </c>
      <c r="R14" s="24">
        <v>1040271466.84</v>
      </c>
      <c r="S14" s="14">
        <v>22535643</v>
      </c>
      <c r="T14" s="14">
        <v>1017735823.84</v>
      </c>
      <c r="U14" s="14">
        <v>1269.3399999999999</v>
      </c>
      <c r="V14" s="14">
        <v>66815</v>
      </c>
      <c r="W14" s="77">
        <f t="shared" si="2"/>
        <v>3</v>
      </c>
      <c r="X14" s="37"/>
      <c r="Y14" s="38"/>
      <c r="AA14" s="75">
        <v>1150689995</v>
      </c>
      <c r="AB14" s="76">
        <v>21335111</v>
      </c>
      <c r="AC14" s="76">
        <v>1129354884</v>
      </c>
      <c r="AD14" s="76">
        <v>1413.6666666666667</v>
      </c>
      <c r="AE14" s="76">
        <v>66574</v>
      </c>
      <c r="AF14" s="77">
        <f t="shared" si="3"/>
        <v>3</v>
      </c>
      <c r="AG14" s="432"/>
      <c r="AH14" s="24">
        <v>1127453209</v>
      </c>
      <c r="AI14" s="14">
        <v>23248489</v>
      </c>
      <c r="AJ14" s="14">
        <v>1104204720</v>
      </c>
      <c r="AK14" s="14">
        <v>1419</v>
      </c>
      <c r="AL14" s="14">
        <v>64846</v>
      </c>
      <c r="AM14" s="77">
        <f t="shared" si="4"/>
        <v>3</v>
      </c>
      <c r="AN14" s="24">
        <v>1089477691.45</v>
      </c>
      <c r="AO14" s="14">
        <v>21666103.999999996</v>
      </c>
      <c r="AP14" s="14">
        <v>1067811587.45</v>
      </c>
      <c r="AQ14" s="14">
        <v>1276.3000000000002</v>
      </c>
      <c r="AR14" s="14">
        <v>69721</v>
      </c>
      <c r="AS14" s="77">
        <f t="shared" si="5"/>
        <v>4</v>
      </c>
      <c r="AT14" s="37"/>
      <c r="AU14" s="38"/>
    </row>
    <row r="15" spans="1:47" ht="18" customHeight="1">
      <c r="A15" s="65">
        <v>313</v>
      </c>
      <c r="B15" s="68" t="s">
        <v>17</v>
      </c>
      <c r="C15" s="33" t="s">
        <v>18</v>
      </c>
      <c r="D15" s="41"/>
      <c r="E15" s="75">
        <v>858111189</v>
      </c>
      <c r="F15" s="76">
        <v>27900168</v>
      </c>
      <c r="G15" s="76">
        <v>830211021</v>
      </c>
      <c r="H15" s="76">
        <v>1443.1</v>
      </c>
      <c r="I15" s="76">
        <v>47941</v>
      </c>
      <c r="J15" s="77">
        <f t="shared" si="0"/>
        <v>24</v>
      </c>
      <c r="K15" s="432"/>
      <c r="L15" s="24">
        <v>973641411</v>
      </c>
      <c r="M15" s="14">
        <v>54418308</v>
      </c>
      <c r="N15" s="14">
        <v>919223103</v>
      </c>
      <c r="O15" s="14">
        <v>1447.93</v>
      </c>
      <c r="P15" s="14">
        <v>52904</v>
      </c>
      <c r="Q15" s="77">
        <f t="shared" si="1"/>
        <v>18</v>
      </c>
      <c r="R15" s="24">
        <v>955898357</v>
      </c>
      <c r="S15" s="14">
        <v>54427951</v>
      </c>
      <c r="T15" s="14">
        <v>901470406</v>
      </c>
      <c r="U15" s="14">
        <v>1252.22</v>
      </c>
      <c r="V15" s="14">
        <v>59991</v>
      </c>
      <c r="W15" s="77">
        <f t="shared" si="2"/>
        <v>11</v>
      </c>
      <c r="X15" s="37"/>
      <c r="Y15" s="38"/>
      <c r="AA15" s="75">
        <v>1051322451</v>
      </c>
      <c r="AB15" s="76">
        <v>56763521</v>
      </c>
      <c r="AC15" s="76">
        <v>994558930</v>
      </c>
      <c r="AD15" s="76">
        <v>1456.6</v>
      </c>
      <c r="AE15" s="76">
        <v>56900</v>
      </c>
      <c r="AF15" s="77">
        <f t="shared" si="3"/>
        <v>13</v>
      </c>
      <c r="AG15" s="432"/>
      <c r="AH15" s="24">
        <v>1117772031</v>
      </c>
      <c r="AI15" s="14">
        <v>59856690</v>
      </c>
      <c r="AJ15" s="14">
        <v>1057915341</v>
      </c>
      <c r="AK15" s="14">
        <v>1614.35</v>
      </c>
      <c r="AL15" s="14">
        <v>54610</v>
      </c>
      <c r="AM15" s="77">
        <f t="shared" si="4"/>
        <v>21</v>
      </c>
      <c r="AN15" s="24">
        <v>1093242466</v>
      </c>
      <c r="AO15" s="14">
        <v>61043048</v>
      </c>
      <c r="AP15" s="14">
        <v>1032199418</v>
      </c>
      <c r="AQ15" s="14">
        <v>1383.52</v>
      </c>
      <c r="AR15" s="14">
        <v>62172</v>
      </c>
      <c r="AS15" s="77">
        <f t="shared" si="5"/>
        <v>16</v>
      </c>
      <c r="AT15" s="37"/>
      <c r="AU15" s="38"/>
    </row>
    <row r="16" spans="1:47" ht="18" customHeight="1">
      <c r="A16" s="65">
        <v>314</v>
      </c>
      <c r="B16" s="68" t="s">
        <v>19</v>
      </c>
      <c r="C16" s="33" t="s">
        <v>20</v>
      </c>
      <c r="D16" s="41"/>
      <c r="E16" s="75">
        <v>7869409025</v>
      </c>
      <c r="F16" s="76">
        <v>156449644</v>
      </c>
      <c r="G16" s="76">
        <v>7712959381</v>
      </c>
      <c r="H16" s="76">
        <v>13750.21</v>
      </c>
      <c r="I16" s="76">
        <v>46744</v>
      </c>
      <c r="J16" s="77">
        <f t="shared" si="0"/>
        <v>25</v>
      </c>
      <c r="K16" s="432"/>
      <c r="L16" s="24">
        <v>7847649637</v>
      </c>
      <c r="M16" s="14">
        <v>200399658</v>
      </c>
      <c r="N16" s="14">
        <v>7647249979</v>
      </c>
      <c r="O16" s="14">
        <v>13839.82</v>
      </c>
      <c r="P16" s="14">
        <v>46046</v>
      </c>
      <c r="Q16" s="77">
        <f t="shared" si="1"/>
        <v>26</v>
      </c>
      <c r="R16" s="24">
        <v>7742861444.1700001</v>
      </c>
      <c r="S16" s="14">
        <v>173204443.35000002</v>
      </c>
      <c r="T16" s="14">
        <v>7569657000.8199997</v>
      </c>
      <c r="U16" s="14">
        <v>10909.880000000001</v>
      </c>
      <c r="V16" s="14">
        <v>57820</v>
      </c>
      <c r="W16" s="77">
        <f t="shared" si="2"/>
        <v>16</v>
      </c>
      <c r="X16" s="37"/>
      <c r="Y16" s="38"/>
      <c r="AA16" s="75">
        <v>8392598149</v>
      </c>
      <c r="AB16" s="76">
        <v>207366396</v>
      </c>
      <c r="AC16" s="76">
        <v>8185231753</v>
      </c>
      <c r="AD16" s="76">
        <v>13813.64</v>
      </c>
      <c r="AE16" s="76">
        <v>49379</v>
      </c>
      <c r="AF16" s="77">
        <f t="shared" si="3"/>
        <v>27</v>
      </c>
      <c r="AG16" s="432"/>
      <c r="AH16" s="24">
        <v>8252010956</v>
      </c>
      <c r="AI16" s="14">
        <v>217117929</v>
      </c>
      <c r="AJ16" s="14">
        <v>8034893027</v>
      </c>
      <c r="AK16" s="14">
        <v>12798.759999999998</v>
      </c>
      <c r="AL16" s="14">
        <v>52316</v>
      </c>
      <c r="AM16" s="77">
        <f t="shared" si="4"/>
        <v>25</v>
      </c>
      <c r="AN16" s="24">
        <v>8258420467.0700006</v>
      </c>
      <c r="AO16" s="14">
        <v>206336634.35000002</v>
      </c>
      <c r="AP16" s="14">
        <v>8052083832.7200003</v>
      </c>
      <c r="AQ16" s="14">
        <v>10876.609999999999</v>
      </c>
      <c r="AR16" s="14">
        <v>61693</v>
      </c>
      <c r="AS16" s="77">
        <f t="shared" si="5"/>
        <v>17</v>
      </c>
      <c r="AT16" s="37"/>
      <c r="AU16" s="38"/>
    </row>
    <row r="17" spans="1:47" ht="18" customHeight="1">
      <c r="A17" s="65">
        <v>315</v>
      </c>
      <c r="B17" s="68" t="s">
        <v>21</v>
      </c>
      <c r="C17" s="33" t="s">
        <v>22</v>
      </c>
      <c r="D17" s="41"/>
      <c r="E17" s="75">
        <v>478719638</v>
      </c>
      <c r="F17" s="76">
        <v>12181130</v>
      </c>
      <c r="G17" s="76">
        <v>466538508</v>
      </c>
      <c r="H17" s="76">
        <v>683.73</v>
      </c>
      <c r="I17" s="76">
        <v>56862</v>
      </c>
      <c r="J17" s="77">
        <f t="shared" si="0"/>
        <v>6</v>
      </c>
      <c r="K17" s="432"/>
      <c r="L17" s="24">
        <v>514683407</v>
      </c>
      <c r="M17" s="14">
        <v>22951130</v>
      </c>
      <c r="N17" s="14">
        <v>491732277</v>
      </c>
      <c r="O17" s="14">
        <v>692.36</v>
      </c>
      <c r="P17" s="14">
        <v>59186</v>
      </c>
      <c r="Q17" s="77">
        <f t="shared" si="1"/>
        <v>9</v>
      </c>
      <c r="R17" s="24">
        <v>492425498</v>
      </c>
      <c r="S17" s="14">
        <v>22277616</v>
      </c>
      <c r="T17" s="14">
        <v>470147882</v>
      </c>
      <c r="U17" s="14">
        <v>630.06999999999994</v>
      </c>
      <c r="V17" s="14">
        <v>62182</v>
      </c>
      <c r="W17" s="77">
        <f t="shared" si="2"/>
        <v>8</v>
      </c>
      <c r="X17" s="37"/>
      <c r="Y17" s="38"/>
      <c r="AA17" s="75">
        <v>531800501</v>
      </c>
      <c r="AB17" s="76">
        <v>14133666</v>
      </c>
      <c r="AC17" s="76">
        <v>517666835</v>
      </c>
      <c r="AD17" s="76">
        <v>701</v>
      </c>
      <c r="AE17" s="76">
        <v>61539</v>
      </c>
      <c r="AF17" s="77">
        <f t="shared" si="3"/>
        <v>5</v>
      </c>
      <c r="AG17" s="432"/>
      <c r="AH17" s="24">
        <v>539106934</v>
      </c>
      <c r="AI17" s="14">
        <v>16662916</v>
      </c>
      <c r="AJ17" s="14">
        <v>522444018</v>
      </c>
      <c r="AK17" s="14">
        <v>709.29</v>
      </c>
      <c r="AL17" s="14">
        <v>61381</v>
      </c>
      <c r="AM17" s="77">
        <f t="shared" si="4"/>
        <v>6</v>
      </c>
      <c r="AN17" s="24">
        <v>534279834</v>
      </c>
      <c r="AO17" s="14">
        <v>22318977</v>
      </c>
      <c r="AP17" s="14">
        <v>511960857</v>
      </c>
      <c r="AQ17" s="14">
        <v>656.37</v>
      </c>
      <c r="AR17" s="14">
        <v>64999</v>
      </c>
      <c r="AS17" s="77">
        <f t="shared" si="5"/>
        <v>8</v>
      </c>
      <c r="AT17" s="37"/>
      <c r="AU17" s="38"/>
    </row>
    <row r="18" spans="1:47" ht="18" customHeight="1">
      <c r="A18" s="65">
        <v>317</v>
      </c>
      <c r="B18" s="68" t="s">
        <v>23</v>
      </c>
      <c r="C18" s="33" t="s">
        <v>24</v>
      </c>
      <c r="D18" s="41"/>
      <c r="E18" s="75">
        <v>606158053</v>
      </c>
      <c r="F18" s="76">
        <v>51264683</v>
      </c>
      <c r="G18" s="76">
        <v>554893370</v>
      </c>
      <c r="H18" s="76">
        <v>857.1099999999999</v>
      </c>
      <c r="I18" s="76">
        <v>53950</v>
      </c>
      <c r="J18" s="77">
        <f t="shared" si="0"/>
        <v>11</v>
      </c>
      <c r="K18" s="432"/>
      <c r="L18" s="24">
        <v>629706623</v>
      </c>
      <c r="M18" s="14">
        <v>58523631</v>
      </c>
      <c r="N18" s="14">
        <v>571182992</v>
      </c>
      <c r="O18" s="14">
        <v>889.81</v>
      </c>
      <c r="P18" s="14">
        <v>53493</v>
      </c>
      <c r="Q18" s="77">
        <f t="shared" si="1"/>
        <v>15</v>
      </c>
      <c r="R18" s="24">
        <v>605006888.00999999</v>
      </c>
      <c r="S18" s="14">
        <v>37593505.009999998</v>
      </c>
      <c r="T18" s="14">
        <v>567413383</v>
      </c>
      <c r="U18" s="14">
        <v>789.01</v>
      </c>
      <c r="V18" s="14">
        <v>59929</v>
      </c>
      <c r="W18" s="77">
        <f t="shared" si="2"/>
        <v>12</v>
      </c>
      <c r="X18" s="37"/>
      <c r="Y18" s="38"/>
      <c r="AA18" s="75">
        <v>618524340</v>
      </c>
      <c r="AB18" s="76">
        <v>44454560</v>
      </c>
      <c r="AC18" s="76">
        <v>574069780</v>
      </c>
      <c r="AD18" s="76">
        <v>858.24</v>
      </c>
      <c r="AE18" s="76">
        <v>55741</v>
      </c>
      <c r="AF18" s="77">
        <f t="shared" si="3"/>
        <v>18</v>
      </c>
      <c r="AG18" s="432"/>
      <c r="AH18" s="24">
        <v>665807860</v>
      </c>
      <c r="AI18" s="14">
        <v>55044689</v>
      </c>
      <c r="AJ18" s="14">
        <v>610763171</v>
      </c>
      <c r="AK18" s="14">
        <v>906.24</v>
      </c>
      <c r="AL18" s="14">
        <v>56163</v>
      </c>
      <c r="AM18" s="77">
        <f t="shared" si="4"/>
        <v>18</v>
      </c>
      <c r="AN18" s="24">
        <v>647865128.99000001</v>
      </c>
      <c r="AO18" s="14">
        <v>43312998.999999985</v>
      </c>
      <c r="AP18" s="14">
        <v>604552129.99000001</v>
      </c>
      <c r="AQ18" s="14">
        <v>794.82999999999993</v>
      </c>
      <c r="AR18" s="14">
        <v>63384</v>
      </c>
      <c r="AS18" s="77">
        <f t="shared" si="5"/>
        <v>11</v>
      </c>
      <c r="AT18" s="37"/>
      <c r="AU18" s="38"/>
    </row>
    <row r="19" spans="1:47" ht="18" customHeight="1">
      <c r="A19" s="65">
        <v>321</v>
      </c>
      <c r="B19" s="68" t="s">
        <v>25</v>
      </c>
      <c r="C19" s="33" t="s">
        <v>26</v>
      </c>
      <c r="D19" s="41"/>
      <c r="E19" s="75">
        <v>0</v>
      </c>
      <c r="F19" s="76">
        <v>0</v>
      </c>
      <c r="G19" s="76">
        <v>0</v>
      </c>
      <c r="H19" s="76">
        <v>0</v>
      </c>
      <c r="I19" s="76">
        <v>0</v>
      </c>
      <c r="J19" s="77">
        <f t="shared" si="0"/>
        <v>33</v>
      </c>
      <c r="K19" s="432"/>
      <c r="L19" s="24">
        <v>0</v>
      </c>
      <c r="M19" s="14">
        <v>0</v>
      </c>
      <c r="N19" s="14">
        <v>0</v>
      </c>
      <c r="O19" s="14">
        <v>0</v>
      </c>
      <c r="P19" s="14">
        <v>0</v>
      </c>
      <c r="Q19" s="77">
        <f t="shared" si="1"/>
        <v>32</v>
      </c>
      <c r="R19" s="24">
        <v>0</v>
      </c>
      <c r="S19" s="14">
        <v>0</v>
      </c>
      <c r="T19" s="14">
        <v>0</v>
      </c>
      <c r="U19" s="14">
        <v>0</v>
      </c>
      <c r="V19" s="14">
        <v>0</v>
      </c>
      <c r="W19" s="77">
        <f t="shared" si="2"/>
        <v>32</v>
      </c>
      <c r="X19" s="37"/>
      <c r="Y19" s="38"/>
      <c r="AA19" s="75">
        <v>0</v>
      </c>
      <c r="AB19" s="76">
        <v>0</v>
      </c>
      <c r="AC19" s="76">
        <v>0</v>
      </c>
      <c r="AD19" s="76">
        <v>0</v>
      </c>
      <c r="AE19" s="76">
        <v>0</v>
      </c>
      <c r="AF19" s="77">
        <f t="shared" si="3"/>
        <v>32</v>
      </c>
      <c r="AG19" s="432"/>
      <c r="AH19" s="24">
        <v>0</v>
      </c>
      <c r="AI19" s="14">
        <v>0</v>
      </c>
      <c r="AJ19" s="14">
        <v>0</v>
      </c>
      <c r="AK19" s="14">
        <v>0</v>
      </c>
      <c r="AL19" s="14">
        <v>0</v>
      </c>
      <c r="AM19" s="77">
        <f t="shared" si="4"/>
        <v>32</v>
      </c>
      <c r="AN19" s="24">
        <v>0</v>
      </c>
      <c r="AO19" s="14">
        <v>0</v>
      </c>
      <c r="AP19" s="14">
        <v>0</v>
      </c>
      <c r="AQ19" s="14">
        <v>0</v>
      </c>
      <c r="AR19" s="14">
        <v>0</v>
      </c>
      <c r="AS19" s="77">
        <f t="shared" si="5"/>
        <v>32</v>
      </c>
      <c r="AT19" s="37"/>
      <c r="AU19" s="38"/>
    </row>
    <row r="20" spans="1:47" ht="18" customHeight="1">
      <c r="A20" s="65">
        <v>322</v>
      </c>
      <c r="B20" s="68" t="s">
        <v>27</v>
      </c>
      <c r="C20" s="33" t="s">
        <v>28</v>
      </c>
      <c r="D20" s="41"/>
      <c r="E20" s="75">
        <v>730763440</v>
      </c>
      <c r="F20" s="76">
        <v>84761592</v>
      </c>
      <c r="G20" s="76">
        <v>646001848</v>
      </c>
      <c r="H20" s="76">
        <v>952.83</v>
      </c>
      <c r="I20" s="76">
        <v>56499</v>
      </c>
      <c r="J20" s="77">
        <f t="shared" si="0"/>
        <v>7</v>
      </c>
      <c r="K20" s="432"/>
      <c r="L20" s="24">
        <v>779423927</v>
      </c>
      <c r="M20" s="14">
        <v>90550997</v>
      </c>
      <c r="N20" s="14">
        <v>688872930</v>
      </c>
      <c r="O20" s="14">
        <v>966.82999999999993</v>
      </c>
      <c r="P20" s="14">
        <v>59376</v>
      </c>
      <c r="Q20" s="77">
        <f t="shared" si="1"/>
        <v>7</v>
      </c>
      <c r="R20" s="24">
        <v>698254638.07999992</v>
      </c>
      <c r="S20" s="14">
        <v>67205196</v>
      </c>
      <c r="T20" s="14">
        <v>631049442.07999992</v>
      </c>
      <c r="U20" s="14">
        <v>870.32</v>
      </c>
      <c r="V20" s="14">
        <v>60423</v>
      </c>
      <c r="W20" s="77">
        <f t="shared" si="2"/>
        <v>10</v>
      </c>
      <c r="X20" s="37"/>
      <c r="Y20" s="38"/>
      <c r="AA20" s="75">
        <v>772026831</v>
      </c>
      <c r="AB20" s="76">
        <v>80847021</v>
      </c>
      <c r="AC20" s="76">
        <v>691179810</v>
      </c>
      <c r="AD20" s="76">
        <v>975</v>
      </c>
      <c r="AE20" s="76">
        <v>59075</v>
      </c>
      <c r="AF20" s="77">
        <f t="shared" si="3"/>
        <v>9</v>
      </c>
      <c r="AG20" s="432"/>
      <c r="AH20" s="24">
        <v>761353905</v>
      </c>
      <c r="AI20" s="14">
        <v>80847021</v>
      </c>
      <c r="AJ20" s="14">
        <v>680506884</v>
      </c>
      <c r="AK20" s="14">
        <v>976.5</v>
      </c>
      <c r="AL20" s="14">
        <v>58074</v>
      </c>
      <c r="AM20" s="77">
        <f t="shared" si="4"/>
        <v>11</v>
      </c>
      <c r="AN20" s="24">
        <v>722397728.99999988</v>
      </c>
      <c r="AO20" s="14">
        <v>59588399</v>
      </c>
      <c r="AP20" s="14">
        <v>662809329.99999988</v>
      </c>
      <c r="AQ20" s="14">
        <v>887.29</v>
      </c>
      <c r="AR20" s="14">
        <v>62250</v>
      </c>
      <c r="AS20" s="77">
        <f t="shared" si="5"/>
        <v>15</v>
      </c>
      <c r="AT20" s="37"/>
      <c r="AU20" s="38"/>
    </row>
    <row r="21" spans="1:47" ht="18" customHeight="1">
      <c r="A21" s="65">
        <v>327</v>
      </c>
      <c r="B21" s="68" t="s">
        <v>29</v>
      </c>
      <c r="C21" s="33" t="s">
        <v>30</v>
      </c>
      <c r="D21" s="41"/>
      <c r="E21" s="75">
        <v>325990235</v>
      </c>
      <c r="F21" s="76">
        <v>11492599</v>
      </c>
      <c r="G21" s="76">
        <v>314497636</v>
      </c>
      <c r="H21" s="76">
        <v>464</v>
      </c>
      <c r="I21" s="76">
        <v>56483</v>
      </c>
      <c r="J21" s="77">
        <f t="shared" si="0"/>
        <v>8</v>
      </c>
      <c r="K21" s="432"/>
      <c r="L21" s="24">
        <v>338824603</v>
      </c>
      <c r="M21" s="14">
        <v>12462599</v>
      </c>
      <c r="N21" s="14">
        <v>326362004</v>
      </c>
      <c r="O21" s="14">
        <v>459.5</v>
      </c>
      <c r="P21" s="14">
        <v>59188</v>
      </c>
      <c r="Q21" s="77">
        <f t="shared" si="1"/>
        <v>8</v>
      </c>
      <c r="R21" s="24">
        <v>334953345</v>
      </c>
      <c r="S21" s="14">
        <v>9116190</v>
      </c>
      <c r="T21" s="14">
        <v>325837155</v>
      </c>
      <c r="U21" s="14">
        <v>424.37</v>
      </c>
      <c r="V21" s="14">
        <v>63984</v>
      </c>
      <c r="W21" s="77">
        <f t="shared" si="2"/>
        <v>5</v>
      </c>
      <c r="X21" s="37"/>
      <c r="Y21" s="38"/>
      <c r="AA21" s="75">
        <v>338939517</v>
      </c>
      <c r="AB21" s="76">
        <v>10746622</v>
      </c>
      <c r="AC21" s="76">
        <v>328192895</v>
      </c>
      <c r="AD21" s="76">
        <v>459</v>
      </c>
      <c r="AE21" s="76">
        <v>59585</v>
      </c>
      <c r="AF21" s="77">
        <f t="shared" si="3"/>
        <v>7</v>
      </c>
      <c r="AG21" s="432"/>
      <c r="AH21" s="24">
        <v>350882577</v>
      </c>
      <c r="AI21" s="14">
        <v>11407882</v>
      </c>
      <c r="AJ21" s="14">
        <v>339474695</v>
      </c>
      <c r="AK21" s="14">
        <v>444</v>
      </c>
      <c r="AL21" s="14">
        <v>63715</v>
      </c>
      <c r="AM21" s="77">
        <f t="shared" si="4"/>
        <v>4</v>
      </c>
      <c r="AN21" s="24">
        <v>351846889</v>
      </c>
      <c r="AO21" s="14">
        <v>11743164</v>
      </c>
      <c r="AP21" s="14">
        <v>340103725</v>
      </c>
      <c r="AQ21" s="14">
        <v>422.8</v>
      </c>
      <c r="AR21" s="14">
        <v>67034</v>
      </c>
      <c r="AS21" s="77">
        <f t="shared" si="5"/>
        <v>6</v>
      </c>
      <c r="AT21" s="37"/>
      <c r="AU21" s="38"/>
    </row>
    <row r="22" spans="1:47" ht="18" customHeight="1">
      <c r="A22" s="65">
        <v>328</v>
      </c>
      <c r="B22" s="68" t="s">
        <v>87</v>
      </c>
      <c r="C22" s="33" t="s">
        <v>85</v>
      </c>
      <c r="D22" s="41"/>
      <c r="E22" s="75">
        <v>325754280</v>
      </c>
      <c r="F22" s="76">
        <v>14059777</v>
      </c>
      <c r="G22" s="76">
        <v>311694503</v>
      </c>
      <c r="H22" s="76">
        <v>598</v>
      </c>
      <c r="I22" s="76">
        <v>43436</v>
      </c>
      <c r="J22" s="77">
        <f t="shared" si="0"/>
        <v>29</v>
      </c>
      <c r="K22" s="432"/>
      <c r="L22" s="24">
        <v>327329280</v>
      </c>
      <c r="M22" s="14">
        <v>14059777</v>
      </c>
      <c r="N22" s="14">
        <v>313269503</v>
      </c>
      <c r="O22" s="14">
        <v>587</v>
      </c>
      <c r="P22" s="14">
        <v>44473</v>
      </c>
      <c r="Q22" s="77">
        <f t="shared" si="1"/>
        <v>29</v>
      </c>
      <c r="R22" s="24">
        <v>314887703</v>
      </c>
      <c r="S22" s="14">
        <v>10313331</v>
      </c>
      <c r="T22" s="14">
        <v>304574372</v>
      </c>
      <c r="U22" s="14">
        <v>527.54999999999995</v>
      </c>
      <c r="V22" s="14">
        <v>48111</v>
      </c>
      <c r="W22" s="77">
        <f t="shared" si="2"/>
        <v>28</v>
      </c>
      <c r="X22" s="37"/>
      <c r="Y22" s="38"/>
      <c r="AA22" s="75">
        <v>361504405</v>
      </c>
      <c r="AB22" s="76">
        <v>15394177</v>
      </c>
      <c r="AC22" s="76">
        <v>346110228</v>
      </c>
      <c r="AD22" s="76">
        <v>587</v>
      </c>
      <c r="AE22" s="76">
        <v>49135</v>
      </c>
      <c r="AF22" s="77">
        <f t="shared" si="3"/>
        <v>28</v>
      </c>
      <c r="AG22" s="432"/>
      <c r="AH22" s="24">
        <v>361504405</v>
      </c>
      <c r="AI22" s="14">
        <v>15394177</v>
      </c>
      <c r="AJ22" s="14">
        <v>346110228</v>
      </c>
      <c r="AK22" s="14">
        <v>587</v>
      </c>
      <c r="AL22" s="14">
        <v>49135</v>
      </c>
      <c r="AM22" s="77">
        <f t="shared" si="4"/>
        <v>28</v>
      </c>
      <c r="AN22" s="24">
        <v>345236633</v>
      </c>
      <c r="AO22" s="14">
        <v>13667252</v>
      </c>
      <c r="AP22" s="14">
        <v>331569381</v>
      </c>
      <c r="AQ22" s="14">
        <v>523.02</v>
      </c>
      <c r="AR22" s="14">
        <v>52829</v>
      </c>
      <c r="AS22" s="77">
        <f t="shared" si="5"/>
        <v>27</v>
      </c>
      <c r="AT22" s="37"/>
      <c r="AU22" s="38"/>
    </row>
    <row r="23" spans="1:47" ht="18" customHeight="1">
      <c r="A23" s="65">
        <v>329</v>
      </c>
      <c r="B23" s="68" t="s">
        <v>31</v>
      </c>
      <c r="C23" s="33" t="s">
        <v>32</v>
      </c>
      <c r="D23" s="41"/>
      <c r="E23" s="75">
        <v>448361566</v>
      </c>
      <c r="F23" s="76">
        <v>20662964</v>
      </c>
      <c r="G23" s="76">
        <v>427698602</v>
      </c>
      <c r="H23" s="76">
        <v>707</v>
      </c>
      <c r="I23" s="76">
        <v>50412</v>
      </c>
      <c r="J23" s="77">
        <f t="shared" si="0"/>
        <v>23</v>
      </c>
      <c r="K23" s="432"/>
      <c r="L23" s="24">
        <v>498176421</v>
      </c>
      <c r="M23" s="14">
        <v>20477819</v>
      </c>
      <c r="N23" s="14">
        <v>477698602</v>
      </c>
      <c r="O23" s="14">
        <v>669</v>
      </c>
      <c r="P23" s="14">
        <v>59504</v>
      </c>
      <c r="Q23" s="77">
        <f t="shared" si="1"/>
        <v>6</v>
      </c>
      <c r="R23" s="24">
        <v>479387396</v>
      </c>
      <c r="S23" s="14">
        <v>30361486</v>
      </c>
      <c r="T23" s="14">
        <v>449025910</v>
      </c>
      <c r="U23" s="14">
        <v>660.38</v>
      </c>
      <c r="V23" s="14">
        <v>56663</v>
      </c>
      <c r="W23" s="77">
        <f t="shared" si="2"/>
        <v>20</v>
      </c>
      <c r="X23" s="37"/>
      <c r="Y23" s="38"/>
      <c r="AA23" s="75">
        <v>470535383</v>
      </c>
      <c r="AB23" s="76">
        <v>19117164</v>
      </c>
      <c r="AC23" s="76">
        <v>451418219</v>
      </c>
      <c r="AD23" s="76">
        <v>669</v>
      </c>
      <c r="AE23" s="76">
        <v>56230</v>
      </c>
      <c r="AF23" s="77">
        <f t="shared" si="3"/>
        <v>15</v>
      </c>
      <c r="AG23" s="432"/>
      <c r="AH23" s="24">
        <v>477565463</v>
      </c>
      <c r="AI23" s="14">
        <v>19017164</v>
      </c>
      <c r="AJ23" s="14">
        <v>458548299</v>
      </c>
      <c r="AK23" s="14">
        <v>669</v>
      </c>
      <c r="AL23" s="14">
        <v>57119</v>
      </c>
      <c r="AM23" s="77">
        <f t="shared" si="4"/>
        <v>15</v>
      </c>
      <c r="AN23" s="24">
        <v>501613181</v>
      </c>
      <c r="AO23" s="14">
        <v>18046053</v>
      </c>
      <c r="AP23" s="14">
        <v>483567128</v>
      </c>
      <c r="AQ23" s="14">
        <v>642.88000000000011</v>
      </c>
      <c r="AR23" s="14">
        <v>62682</v>
      </c>
      <c r="AS23" s="77">
        <f t="shared" si="5"/>
        <v>13</v>
      </c>
      <c r="AT23" s="37"/>
      <c r="AU23" s="38"/>
    </row>
    <row r="24" spans="1:47" ht="18" customHeight="1">
      <c r="A24" s="65">
        <v>333</v>
      </c>
      <c r="B24" s="68" t="s">
        <v>33</v>
      </c>
      <c r="C24" s="33" t="s">
        <v>34</v>
      </c>
      <c r="D24" s="41"/>
      <c r="E24" s="75">
        <v>772477872</v>
      </c>
      <c r="F24" s="76">
        <v>88611821</v>
      </c>
      <c r="G24" s="76">
        <v>683866051</v>
      </c>
      <c r="H24" s="76">
        <v>1100.3400000000001</v>
      </c>
      <c r="I24" s="76">
        <v>51792</v>
      </c>
      <c r="J24" s="77">
        <f t="shared" si="0"/>
        <v>17</v>
      </c>
      <c r="K24" s="432"/>
      <c r="L24" s="24">
        <v>796835272</v>
      </c>
      <c r="M24" s="14">
        <v>88611821</v>
      </c>
      <c r="N24" s="14">
        <v>708223451</v>
      </c>
      <c r="O24" s="14">
        <v>1052.17</v>
      </c>
      <c r="P24" s="14">
        <v>56092</v>
      </c>
      <c r="Q24" s="77">
        <f t="shared" si="1"/>
        <v>11</v>
      </c>
      <c r="R24" s="24">
        <v>717966228</v>
      </c>
      <c r="S24" s="14">
        <v>57058150</v>
      </c>
      <c r="T24" s="14">
        <v>660908078</v>
      </c>
      <c r="U24" s="14">
        <v>944.04000000000008</v>
      </c>
      <c r="V24" s="14">
        <v>58340</v>
      </c>
      <c r="W24" s="77">
        <f t="shared" si="2"/>
        <v>14</v>
      </c>
      <c r="X24" s="37"/>
      <c r="Y24" s="38"/>
      <c r="AA24" s="75">
        <v>810168268</v>
      </c>
      <c r="AB24" s="76">
        <v>74261924</v>
      </c>
      <c r="AC24" s="76">
        <v>735906344</v>
      </c>
      <c r="AD24" s="76">
        <v>1101.49</v>
      </c>
      <c r="AE24" s="76">
        <v>55675</v>
      </c>
      <c r="AF24" s="77">
        <f t="shared" si="3"/>
        <v>20</v>
      </c>
      <c r="AG24" s="432"/>
      <c r="AH24" s="24">
        <v>808098243</v>
      </c>
      <c r="AI24" s="14">
        <v>72872013</v>
      </c>
      <c r="AJ24" s="14">
        <v>735226230</v>
      </c>
      <c r="AK24" s="14">
        <v>1094.1100000000001</v>
      </c>
      <c r="AL24" s="14">
        <v>55999</v>
      </c>
      <c r="AM24" s="77">
        <f t="shared" si="4"/>
        <v>19</v>
      </c>
      <c r="AN24" s="24">
        <v>773744155</v>
      </c>
      <c r="AO24" s="14">
        <v>50831755</v>
      </c>
      <c r="AP24" s="14">
        <v>722912400</v>
      </c>
      <c r="AQ24" s="14">
        <v>993.43</v>
      </c>
      <c r="AR24" s="14">
        <v>60641</v>
      </c>
      <c r="AS24" s="77">
        <f t="shared" si="5"/>
        <v>18</v>
      </c>
      <c r="AT24" s="37"/>
      <c r="AU24" s="38"/>
    </row>
    <row r="25" spans="1:47" ht="18" customHeight="1">
      <c r="A25" s="65">
        <v>334</v>
      </c>
      <c r="B25" s="68" t="s">
        <v>35</v>
      </c>
      <c r="C25" s="33" t="s">
        <v>36</v>
      </c>
      <c r="D25" s="41"/>
      <c r="E25" s="75">
        <v>206355183</v>
      </c>
      <c r="F25" s="76">
        <v>17114419</v>
      </c>
      <c r="G25" s="76">
        <v>189240764</v>
      </c>
      <c r="H25" s="76">
        <v>306</v>
      </c>
      <c r="I25" s="76">
        <v>51536</v>
      </c>
      <c r="J25" s="77">
        <f t="shared" si="0"/>
        <v>18</v>
      </c>
      <c r="K25" s="432"/>
      <c r="L25" s="24">
        <v>211355183</v>
      </c>
      <c r="M25" s="14">
        <v>17114419</v>
      </c>
      <c r="N25" s="14">
        <v>194240764</v>
      </c>
      <c r="O25" s="14">
        <v>298</v>
      </c>
      <c r="P25" s="14">
        <v>54318</v>
      </c>
      <c r="Q25" s="77">
        <f t="shared" si="1"/>
        <v>13</v>
      </c>
      <c r="R25" s="24">
        <v>201231656</v>
      </c>
      <c r="S25" s="14">
        <v>17498896</v>
      </c>
      <c r="T25" s="14">
        <v>183732760</v>
      </c>
      <c r="U25" s="14">
        <v>264.95</v>
      </c>
      <c r="V25" s="14">
        <v>57789</v>
      </c>
      <c r="W25" s="77">
        <f t="shared" si="2"/>
        <v>17</v>
      </c>
      <c r="X25" s="37"/>
      <c r="Y25" s="38"/>
      <c r="AA25" s="75">
        <v>216720321</v>
      </c>
      <c r="AB25" s="76">
        <v>17434819</v>
      </c>
      <c r="AC25" s="76">
        <v>199285502</v>
      </c>
      <c r="AD25" s="76">
        <v>298</v>
      </c>
      <c r="AE25" s="76">
        <v>55729</v>
      </c>
      <c r="AF25" s="77">
        <f t="shared" si="3"/>
        <v>19</v>
      </c>
      <c r="AG25" s="432"/>
      <c r="AH25" s="24">
        <v>222434321</v>
      </c>
      <c r="AI25" s="14">
        <v>18148819</v>
      </c>
      <c r="AJ25" s="14">
        <v>204285502</v>
      </c>
      <c r="AK25" s="14">
        <v>298</v>
      </c>
      <c r="AL25" s="14">
        <v>57127</v>
      </c>
      <c r="AM25" s="77">
        <f t="shared" si="4"/>
        <v>14</v>
      </c>
      <c r="AN25" s="24">
        <v>205779440</v>
      </c>
      <c r="AO25" s="14">
        <v>17450467</v>
      </c>
      <c r="AP25" s="14">
        <v>188328973</v>
      </c>
      <c r="AQ25" s="14">
        <v>267.37</v>
      </c>
      <c r="AR25" s="14">
        <v>58698</v>
      </c>
      <c r="AS25" s="77">
        <f t="shared" si="5"/>
        <v>21</v>
      </c>
      <c r="AT25" s="37"/>
      <c r="AU25" s="38"/>
    </row>
    <row r="26" spans="1:47" ht="18" customHeight="1">
      <c r="A26" s="65">
        <v>335</v>
      </c>
      <c r="B26" s="68" t="s">
        <v>37</v>
      </c>
      <c r="C26" s="33" t="s">
        <v>38</v>
      </c>
      <c r="D26" s="41"/>
      <c r="E26" s="75">
        <v>341016852</v>
      </c>
      <c r="F26" s="76">
        <v>44220784</v>
      </c>
      <c r="G26" s="76">
        <v>296796068</v>
      </c>
      <c r="H26" s="76">
        <v>466.5</v>
      </c>
      <c r="I26" s="76">
        <v>53018</v>
      </c>
      <c r="J26" s="77">
        <f t="shared" si="0"/>
        <v>15</v>
      </c>
      <c r="K26" s="432"/>
      <c r="L26" s="24">
        <v>342958274</v>
      </c>
      <c r="M26" s="14">
        <v>44220784</v>
      </c>
      <c r="N26" s="14">
        <v>298737490</v>
      </c>
      <c r="O26" s="14">
        <v>476</v>
      </c>
      <c r="P26" s="14">
        <v>52300</v>
      </c>
      <c r="Q26" s="77">
        <f t="shared" si="1"/>
        <v>23</v>
      </c>
      <c r="R26" s="24">
        <v>348133118.55000001</v>
      </c>
      <c r="S26" s="14">
        <v>44395158.000000007</v>
      </c>
      <c r="T26" s="14">
        <v>303737960.55000001</v>
      </c>
      <c r="U26" s="14">
        <v>418.89000000000004</v>
      </c>
      <c r="V26" s="14">
        <v>60425</v>
      </c>
      <c r="W26" s="77">
        <f t="shared" si="2"/>
        <v>9</v>
      </c>
      <c r="X26" s="37"/>
      <c r="Y26" s="38"/>
      <c r="AA26" s="75">
        <v>367634571</v>
      </c>
      <c r="AB26" s="76">
        <v>49426734</v>
      </c>
      <c r="AC26" s="76">
        <v>318207837</v>
      </c>
      <c r="AD26" s="76">
        <v>480.5</v>
      </c>
      <c r="AE26" s="76">
        <v>55187</v>
      </c>
      <c r="AF26" s="77">
        <f t="shared" si="3"/>
        <v>22</v>
      </c>
      <c r="AG26" s="432"/>
      <c r="AH26" s="24">
        <v>362507295</v>
      </c>
      <c r="AI26" s="14">
        <v>49426734</v>
      </c>
      <c r="AJ26" s="14">
        <v>313080561</v>
      </c>
      <c r="AK26" s="14">
        <v>481.28</v>
      </c>
      <c r="AL26" s="14">
        <v>54210</v>
      </c>
      <c r="AM26" s="77">
        <f t="shared" si="4"/>
        <v>23</v>
      </c>
      <c r="AN26" s="24">
        <v>381231070.87</v>
      </c>
      <c r="AO26" s="14">
        <v>56891068.000000007</v>
      </c>
      <c r="AP26" s="14">
        <v>324340002.87</v>
      </c>
      <c r="AQ26" s="14">
        <v>424.05</v>
      </c>
      <c r="AR26" s="14">
        <v>63739</v>
      </c>
      <c r="AS26" s="77">
        <f t="shared" si="5"/>
        <v>10</v>
      </c>
      <c r="AT26" s="37"/>
      <c r="AU26" s="38"/>
    </row>
    <row r="27" spans="1:47" ht="18" customHeight="1">
      <c r="A27" s="65">
        <v>336</v>
      </c>
      <c r="B27" s="68" t="s">
        <v>39</v>
      </c>
      <c r="C27" s="33" t="s">
        <v>40</v>
      </c>
      <c r="D27" s="41"/>
      <c r="E27" s="75">
        <v>306762105</v>
      </c>
      <c r="F27" s="76">
        <v>13074908</v>
      </c>
      <c r="G27" s="76">
        <v>293687197</v>
      </c>
      <c r="H27" s="76">
        <v>484.33</v>
      </c>
      <c r="I27" s="76">
        <v>50532</v>
      </c>
      <c r="J27" s="77">
        <f t="shared" si="0"/>
        <v>22</v>
      </c>
      <c r="K27" s="432"/>
      <c r="L27" s="24">
        <v>323163121</v>
      </c>
      <c r="M27" s="14">
        <v>15154908</v>
      </c>
      <c r="N27" s="14">
        <v>308008213</v>
      </c>
      <c r="O27" s="14">
        <v>488.16</v>
      </c>
      <c r="P27" s="14">
        <v>52580</v>
      </c>
      <c r="Q27" s="77">
        <f t="shared" si="1"/>
        <v>21</v>
      </c>
      <c r="R27" s="24">
        <v>312687691.56</v>
      </c>
      <c r="S27" s="14">
        <v>14206587</v>
      </c>
      <c r="T27" s="14">
        <v>298481104.56</v>
      </c>
      <c r="U27" s="14">
        <v>416.96</v>
      </c>
      <c r="V27" s="14">
        <v>59654</v>
      </c>
      <c r="W27" s="77">
        <f t="shared" si="2"/>
        <v>13</v>
      </c>
      <c r="X27" s="37"/>
      <c r="Y27" s="38"/>
      <c r="AA27" s="75">
        <v>377540182</v>
      </c>
      <c r="AB27" s="76">
        <v>14652933</v>
      </c>
      <c r="AC27" s="76">
        <v>362887249</v>
      </c>
      <c r="AD27" s="76">
        <v>522.75</v>
      </c>
      <c r="AE27" s="76">
        <v>57849</v>
      </c>
      <c r="AF27" s="77">
        <f t="shared" si="3"/>
        <v>11</v>
      </c>
      <c r="AG27" s="432"/>
      <c r="AH27" s="24">
        <v>364760949</v>
      </c>
      <c r="AI27" s="14">
        <v>14652933</v>
      </c>
      <c r="AJ27" s="14">
        <v>350108016</v>
      </c>
      <c r="AK27" s="14">
        <v>526.75</v>
      </c>
      <c r="AL27" s="14">
        <v>55388</v>
      </c>
      <c r="AM27" s="77">
        <f t="shared" si="4"/>
        <v>20</v>
      </c>
      <c r="AN27" s="24">
        <v>363503629.01999998</v>
      </c>
      <c r="AO27" s="14">
        <v>15927040.01</v>
      </c>
      <c r="AP27" s="14">
        <v>347576589.00999999</v>
      </c>
      <c r="AQ27" s="14">
        <v>462.79</v>
      </c>
      <c r="AR27" s="14">
        <v>62587</v>
      </c>
      <c r="AS27" s="77">
        <f t="shared" si="5"/>
        <v>14</v>
      </c>
      <c r="AT27" s="37"/>
      <c r="AU27" s="38"/>
    </row>
    <row r="28" spans="1:47" ht="18" customHeight="1">
      <c r="A28" s="65">
        <v>343</v>
      </c>
      <c r="B28" s="68" t="s">
        <v>83</v>
      </c>
      <c r="C28" s="33" t="s">
        <v>92</v>
      </c>
      <c r="D28" s="41"/>
      <c r="E28" s="75">
        <v>73406787</v>
      </c>
      <c r="F28" s="76">
        <v>1890912</v>
      </c>
      <c r="G28" s="76">
        <v>71515875</v>
      </c>
      <c r="H28" s="76">
        <v>114</v>
      </c>
      <c r="I28" s="76">
        <v>52278</v>
      </c>
      <c r="J28" s="77">
        <f t="shared" si="0"/>
        <v>16</v>
      </c>
      <c r="K28" s="432"/>
      <c r="L28" s="24">
        <v>74027055</v>
      </c>
      <c r="M28" s="14">
        <v>1890912</v>
      </c>
      <c r="N28" s="14">
        <v>72136143</v>
      </c>
      <c r="O28" s="14">
        <v>114.5</v>
      </c>
      <c r="P28" s="14">
        <v>52501</v>
      </c>
      <c r="Q28" s="77">
        <f t="shared" si="1"/>
        <v>22</v>
      </c>
      <c r="R28" s="24">
        <v>71692221</v>
      </c>
      <c r="S28" s="14">
        <v>1580535</v>
      </c>
      <c r="T28" s="14">
        <v>70111686</v>
      </c>
      <c r="U28" s="14">
        <v>105.63000000000001</v>
      </c>
      <c r="V28" s="14">
        <v>55312</v>
      </c>
      <c r="W28" s="77">
        <f t="shared" si="2"/>
        <v>24</v>
      </c>
      <c r="X28" s="37"/>
      <c r="Y28" s="38"/>
      <c r="AA28" s="75">
        <v>80134186</v>
      </c>
      <c r="AB28" s="76">
        <v>1890912</v>
      </c>
      <c r="AC28" s="76">
        <v>78243274</v>
      </c>
      <c r="AD28" s="76">
        <v>118</v>
      </c>
      <c r="AE28" s="76">
        <v>55257</v>
      </c>
      <c r="AF28" s="77">
        <f t="shared" si="3"/>
        <v>21</v>
      </c>
      <c r="AG28" s="432"/>
      <c r="AH28" s="24">
        <v>78136276</v>
      </c>
      <c r="AI28" s="14">
        <v>1890912</v>
      </c>
      <c r="AJ28" s="14">
        <v>76245364</v>
      </c>
      <c r="AK28" s="14">
        <v>118</v>
      </c>
      <c r="AL28" s="14">
        <v>53846</v>
      </c>
      <c r="AM28" s="77">
        <f t="shared" si="4"/>
        <v>24</v>
      </c>
      <c r="AN28" s="24">
        <v>75964798</v>
      </c>
      <c r="AO28" s="14">
        <v>1539283</v>
      </c>
      <c r="AP28" s="14">
        <v>74425515</v>
      </c>
      <c r="AQ28" s="14">
        <v>106.24000000000001</v>
      </c>
      <c r="AR28" s="14">
        <v>58378</v>
      </c>
      <c r="AS28" s="77">
        <f t="shared" si="5"/>
        <v>22</v>
      </c>
      <c r="AT28" s="37"/>
      <c r="AU28" s="38"/>
    </row>
    <row r="29" spans="1:47" ht="18" customHeight="1">
      <c r="A29" s="65">
        <v>344</v>
      </c>
      <c r="B29" s="68" t="s">
        <v>41</v>
      </c>
      <c r="C29" s="33" t="s">
        <v>42</v>
      </c>
      <c r="D29" s="41"/>
      <c r="E29" s="75">
        <v>118985529</v>
      </c>
      <c r="F29" s="76">
        <v>864182</v>
      </c>
      <c r="G29" s="76">
        <v>118121347</v>
      </c>
      <c r="H29" s="76">
        <v>212</v>
      </c>
      <c r="I29" s="76">
        <v>46431</v>
      </c>
      <c r="J29" s="77">
        <f t="shared" si="0"/>
        <v>26</v>
      </c>
      <c r="K29" s="432"/>
      <c r="L29" s="24">
        <v>118985529</v>
      </c>
      <c r="M29" s="14">
        <v>864182</v>
      </c>
      <c r="N29" s="14">
        <v>118121347</v>
      </c>
      <c r="O29" s="14">
        <v>207</v>
      </c>
      <c r="P29" s="14">
        <v>47553</v>
      </c>
      <c r="Q29" s="77">
        <f t="shared" si="1"/>
        <v>25</v>
      </c>
      <c r="R29" s="24">
        <v>115636976</v>
      </c>
      <c r="S29" s="14">
        <v>864067</v>
      </c>
      <c r="T29" s="14">
        <v>114772909</v>
      </c>
      <c r="U29" s="14">
        <v>190.45999999999998</v>
      </c>
      <c r="V29" s="14">
        <v>50217</v>
      </c>
      <c r="W29" s="77">
        <f t="shared" si="2"/>
        <v>26</v>
      </c>
      <c r="X29" s="37"/>
      <c r="Y29" s="38"/>
      <c r="AA29" s="75">
        <v>129984417</v>
      </c>
      <c r="AB29" s="76">
        <v>864182</v>
      </c>
      <c r="AC29" s="76">
        <v>129120235</v>
      </c>
      <c r="AD29" s="76">
        <v>207</v>
      </c>
      <c r="AE29" s="76">
        <v>51981</v>
      </c>
      <c r="AF29" s="77">
        <f t="shared" si="3"/>
        <v>25</v>
      </c>
      <c r="AG29" s="432"/>
      <c r="AH29" s="24">
        <v>129984417</v>
      </c>
      <c r="AI29" s="14">
        <v>864182</v>
      </c>
      <c r="AJ29" s="14">
        <v>129120235</v>
      </c>
      <c r="AK29" s="14">
        <v>207</v>
      </c>
      <c r="AL29" s="14">
        <v>51981</v>
      </c>
      <c r="AM29" s="77">
        <f t="shared" si="4"/>
        <v>26</v>
      </c>
      <c r="AN29" s="24">
        <v>125879532</v>
      </c>
      <c r="AO29" s="14">
        <v>842434</v>
      </c>
      <c r="AP29" s="14">
        <v>125037098</v>
      </c>
      <c r="AQ29" s="14">
        <v>187.65</v>
      </c>
      <c r="AR29" s="14">
        <v>55528</v>
      </c>
      <c r="AS29" s="77">
        <f t="shared" si="5"/>
        <v>26</v>
      </c>
      <c r="AT29" s="37"/>
      <c r="AU29" s="38"/>
    </row>
    <row r="30" spans="1:47" ht="18" customHeight="1">
      <c r="A30" s="65">
        <v>345</v>
      </c>
      <c r="B30" s="68" t="s">
        <v>43</v>
      </c>
      <c r="C30" s="33" t="s">
        <v>44</v>
      </c>
      <c r="D30" s="41"/>
      <c r="E30" s="75">
        <v>676274150</v>
      </c>
      <c r="F30" s="76">
        <v>30160470</v>
      </c>
      <c r="G30" s="76">
        <v>646113680</v>
      </c>
      <c r="H30" s="76">
        <v>1263</v>
      </c>
      <c r="I30" s="76">
        <v>42631</v>
      </c>
      <c r="J30" s="77">
        <f t="shared" si="0"/>
        <v>30</v>
      </c>
      <c r="K30" s="432"/>
      <c r="L30" s="24">
        <v>744089173</v>
      </c>
      <c r="M30" s="14">
        <v>46876470</v>
      </c>
      <c r="N30" s="14">
        <v>697212703</v>
      </c>
      <c r="O30" s="14">
        <v>1264.67</v>
      </c>
      <c r="P30" s="14">
        <v>45942</v>
      </c>
      <c r="Q30" s="77">
        <f t="shared" si="1"/>
        <v>27</v>
      </c>
      <c r="R30" s="24">
        <v>759026215</v>
      </c>
      <c r="S30" s="14">
        <v>48416700</v>
      </c>
      <c r="T30" s="14">
        <v>710609515</v>
      </c>
      <c r="U30" s="14">
        <v>1238.8699999999999</v>
      </c>
      <c r="V30" s="14">
        <v>47800</v>
      </c>
      <c r="W30" s="77">
        <f t="shared" si="2"/>
        <v>29</v>
      </c>
      <c r="X30" s="37"/>
      <c r="Y30" s="38"/>
      <c r="AA30" s="75">
        <v>712000842</v>
      </c>
      <c r="AB30" s="76">
        <v>31672000</v>
      </c>
      <c r="AC30" s="76">
        <v>680328842</v>
      </c>
      <c r="AD30" s="76">
        <v>1262</v>
      </c>
      <c r="AE30" s="76">
        <v>44924</v>
      </c>
      <c r="AF30" s="77">
        <f t="shared" si="3"/>
        <v>30</v>
      </c>
      <c r="AG30" s="432"/>
      <c r="AH30" s="24">
        <v>756632704</v>
      </c>
      <c r="AI30" s="14">
        <v>27744654</v>
      </c>
      <c r="AJ30" s="14">
        <v>728888050</v>
      </c>
      <c r="AK30" s="14">
        <v>1252.25</v>
      </c>
      <c r="AL30" s="14">
        <v>48505</v>
      </c>
      <c r="AM30" s="77">
        <f t="shared" si="4"/>
        <v>29</v>
      </c>
      <c r="AN30" s="24">
        <v>762960812</v>
      </c>
      <c r="AO30" s="14">
        <v>34644496</v>
      </c>
      <c r="AP30" s="14">
        <v>728316316</v>
      </c>
      <c r="AQ30" s="14">
        <v>1222.3899999999999</v>
      </c>
      <c r="AR30" s="14">
        <v>49651</v>
      </c>
      <c r="AS30" s="77">
        <f t="shared" si="5"/>
        <v>30</v>
      </c>
      <c r="AT30" s="37"/>
      <c r="AU30" s="38"/>
    </row>
    <row r="31" spans="1:47" ht="18" customHeight="1">
      <c r="A31" s="65">
        <v>346</v>
      </c>
      <c r="B31" s="68" t="s">
        <v>45</v>
      </c>
      <c r="C31" s="33" t="s">
        <v>46</v>
      </c>
      <c r="D31" s="41"/>
      <c r="E31" s="75">
        <v>89526649</v>
      </c>
      <c r="F31" s="76">
        <v>293579</v>
      </c>
      <c r="G31" s="76">
        <v>89233070</v>
      </c>
      <c r="H31" s="76">
        <v>146</v>
      </c>
      <c r="I31" s="76">
        <v>50932</v>
      </c>
      <c r="J31" s="77">
        <f t="shared" si="0"/>
        <v>20</v>
      </c>
      <c r="K31" s="432"/>
      <c r="L31" s="24">
        <v>93276649</v>
      </c>
      <c r="M31" s="14">
        <v>293579</v>
      </c>
      <c r="N31" s="14">
        <v>92983070</v>
      </c>
      <c r="O31" s="14">
        <v>146</v>
      </c>
      <c r="P31" s="14">
        <v>53073</v>
      </c>
      <c r="Q31" s="77">
        <f t="shared" si="1"/>
        <v>17</v>
      </c>
      <c r="R31" s="24">
        <v>93205645</v>
      </c>
      <c r="S31" s="14">
        <v>369393</v>
      </c>
      <c r="T31" s="14">
        <v>92836252</v>
      </c>
      <c r="U31" s="14">
        <v>137.81</v>
      </c>
      <c r="V31" s="14">
        <v>56138</v>
      </c>
      <c r="W31" s="77">
        <f t="shared" si="2"/>
        <v>22</v>
      </c>
      <c r="X31" s="37"/>
      <c r="Y31" s="38"/>
      <c r="AA31" s="75">
        <v>104857775</v>
      </c>
      <c r="AB31" s="76">
        <v>293579</v>
      </c>
      <c r="AC31" s="76">
        <v>104564196</v>
      </c>
      <c r="AD31" s="76">
        <v>146</v>
      </c>
      <c r="AE31" s="76">
        <v>59683</v>
      </c>
      <c r="AF31" s="77">
        <f t="shared" si="3"/>
        <v>6</v>
      </c>
      <c r="AG31" s="432"/>
      <c r="AH31" s="24">
        <v>104741174</v>
      </c>
      <c r="AI31" s="14">
        <v>293579</v>
      </c>
      <c r="AJ31" s="14">
        <v>104447595</v>
      </c>
      <c r="AK31" s="14">
        <v>146</v>
      </c>
      <c r="AL31" s="14">
        <v>59616</v>
      </c>
      <c r="AM31" s="77">
        <f t="shared" si="4"/>
        <v>8</v>
      </c>
      <c r="AN31" s="24">
        <v>104368051</v>
      </c>
      <c r="AO31" s="14">
        <v>252608</v>
      </c>
      <c r="AP31" s="14">
        <v>104115443</v>
      </c>
      <c r="AQ31" s="14">
        <v>138.38999999999999</v>
      </c>
      <c r="AR31" s="14">
        <v>62694</v>
      </c>
      <c r="AS31" s="77">
        <f t="shared" si="5"/>
        <v>12</v>
      </c>
      <c r="AT31" s="37"/>
      <c r="AU31" s="38"/>
    </row>
    <row r="32" spans="1:47" ht="18" customHeight="1">
      <c r="A32" s="65">
        <v>348</v>
      </c>
      <c r="B32" s="68" t="s">
        <v>47</v>
      </c>
      <c r="C32" s="33" t="s">
        <v>93</v>
      </c>
      <c r="D32" s="41"/>
      <c r="E32" s="75">
        <v>113154726</v>
      </c>
      <c r="F32" s="76">
        <v>93813</v>
      </c>
      <c r="G32" s="76">
        <v>113060913</v>
      </c>
      <c r="H32" s="76">
        <v>185</v>
      </c>
      <c r="I32" s="76">
        <v>50928</v>
      </c>
      <c r="J32" s="77">
        <f t="shared" si="0"/>
        <v>21</v>
      </c>
      <c r="K32" s="432"/>
      <c r="L32" s="24">
        <v>113154726</v>
      </c>
      <c r="M32" s="14">
        <v>93813</v>
      </c>
      <c r="N32" s="14">
        <v>113060913</v>
      </c>
      <c r="O32" s="14">
        <v>184.5</v>
      </c>
      <c r="P32" s="14">
        <v>51066</v>
      </c>
      <c r="Q32" s="77">
        <f t="shared" si="1"/>
        <v>24</v>
      </c>
      <c r="R32" s="24">
        <v>112488696</v>
      </c>
      <c r="S32" s="14">
        <v>36800</v>
      </c>
      <c r="T32" s="14">
        <v>112451896</v>
      </c>
      <c r="U32" s="14">
        <v>176.7</v>
      </c>
      <c r="V32" s="14">
        <v>53033</v>
      </c>
      <c r="W32" s="77">
        <f t="shared" si="2"/>
        <v>25</v>
      </c>
      <c r="X32" s="37"/>
      <c r="Y32" s="38"/>
      <c r="AA32" s="75">
        <v>120365636</v>
      </c>
      <c r="AB32" s="76">
        <v>93813</v>
      </c>
      <c r="AC32" s="76">
        <v>120271823</v>
      </c>
      <c r="AD32" s="76">
        <v>184</v>
      </c>
      <c r="AE32" s="76">
        <v>54471</v>
      </c>
      <c r="AF32" s="77">
        <f t="shared" si="3"/>
        <v>23</v>
      </c>
      <c r="AG32" s="432"/>
      <c r="AH32" s="24">
        <v>120365636</v>
      </c>
      <c r="AI32" s="14">
        <v>93813</v>
      </c>
      <c r="AJ32" s="14">
        <v>120271823</v>
      </c>
      <c r="AK32" s="14">
        <v>183.92</v>
      </c>
      <c r="AL32" s="14">
        <v>54495</v>
      </c>
      <c r="AM32" s="77">
        <f t="shared" si="4"/>
        <v>22</v>
      </c>
      <c r="AN32" s="24">
        <v>119308387</v>
      </c>
      <c r="AO32" s="14">
        <v>62668</v>
      </c>
      <c r="AP32" s="14">
        <v>119245719</v>
      </c>
      <c r="AQ32" s="14">
        <v>176.58</v>
      </c>
      <c r="AR32" s="14">
        <v>56276</v>
      </c>
      <c r="AS32" s="77">
        <f t="shared" si="5"/>
        <v>25</v>
      </c>
      <c r="AT32" s="37"/>
      <c r="AU32" s="38"/>
    </row>
    <row r="33" spans="1:47" ht="18" customHeight="1">
      <c r="A33" s="65">
        <v>349</v>
      </c>
      <c r="B33" s="68" t="s">
        <v>88</v>
      </c>
      <c r="C33" s="33" t="s">
        <v>89</v>
      </c>
      <c r="D33" s="41"/>
      <c r="E33" s="75">
        <v>184105106</v>
      </c>
      <c r="F33" s="76">
        <v>2315524</v>
      </c>
      <c r="G33" s="76">
        <v>181789582</v>
      </c>
      <c r="H33" s="76">
        <v>279</v>
      </c>
      <c r="I33" s="76">
        <v>54298</v>
      </c>
      <c r="J33" s="77">
        <f t="shared" si="0"/>
        <v>10</v>
      </c>
      <c r="K33" s="432"/>
      <c r="L33" s="24">
        <v>184993586</v>
      </c>
      <c r="M33" s="14">
        <v>2315524</v>
      </c>
      <c r="N33" s="14">
        <v>182678062</v>
      </c>
      <c r="O33" s="14">
        <v>279</v>
      </c>
      <c r="P33" s="14">
        <v>54563</v>
      </c>
      <c r="Q33" s="77">
        <f t="shared" si="1"/>
        <v>12</v>
      </c>
      <c r="R33" s="24">
        <v>175771645</v>
      </c>
      <c r="S33" s="14">
        <v>2727179</v>
      </c>
      <c r="T33" s="14">
        <v>173044466</v>
      </c>
      <c r="U33" s="14">
        <v>249.11</v>
      </c>
      <c r="V33" s="14">
        <v>57888</v>
      </c>
      <c r="W33" s="77">
        <f t="shared" si="2"/>
        <v>15</v>
      </c>
      <c r="X33" s="37"/>
      <c r="Y33" s="38"/>
      <c r="AA33" s="75">
        <v>200583936</v>
      </c>
      <c r="AB33" s="76">
        <v>2315524</v>
      </c>
      <c r="AC33" s="76">
        <v>198268412</v>
      </c>
      <c r="AD33" s="76">
        <v>284</v>
      </c>
      <c r="AE33" s="76">
        <v>58177</v>
      </c>
      <c r="AF33" s="77">
        <f t="shared" si="3"/>
        <v>10</v>
      </c>
      <c r="AG33" s="432"/>
      <c r="AH33" s="24">
        <v>198057976</v>
      </c>
      <c r="AI33" s="14">
        <v>2115524</v>
      </c>
      <c r="AJ33" s="14">
        <v>195942452</v>
      </c>
      <c r="AK33" s="14">
        <v>284</v>
      </c>
      <c r="AL33" s="14">
        <v>57495</v>
      </c>
      <c r="AM33" s="77">
        <f t="shared" si="4"/>
        <v>12</v>
      </c>
      <c r="AN33" s="24">
        <v>187500869</v>
      </c>
      <c r="AO33" s="14">
        <v>2854875</v>
      </c>
      <c r="AP33" s="14">
        <v>184645994</v>
      </c>
      <c r="AQ33" s="14">
        <v>254.63</v>
      </c>
      <c r="AR33" s="14">
        <v>60430</v>
      </c>
      <c r="AS33" s="77">
        <f t="shared" si="5"/>
        <v>19</v>
      </c>
      <c r="AT33" s="37"/>
      <c r="AU33" s="38"/>
    </row>
    <row r="34" spans="1:47" ht="18" customHeight="1">
      <c r="A34" s="65">
        <v>353</v>
      </c>
      <c r="B34" s="68" t="s">
        <v>48</v>
      </c>
      <c r="C34" s="33" t="s">
        <v>49</v>
      </c>
      <c r="D34" s="41"/>
      <c r="E34" s="75">
        <v>149999083</v>
      </c>
      <c r="F34" s="76">
        <v>2003182</v>
      </c>
      <c r="G34" s="76">
        <v>147995901</v>
      </c>
      <c r="H34" s="76">
        <v>241</v>
      </c>
      <c r="I34" s="76">
        <v>51174</v>
      </c>
      <c r="J34" s="77">
        <f t="shared" si="0"/>
        <v>19</v>
      </c>
      <c r="K34" s="432"/>
      <c r="L34" s="24">
        <v>165377206</v>
      </c>
      <c r="M34" s="14">
        <v>2303182</v>
      </c>
      <c r="N34" s="14">
        <v>163074024</v>
      </c>
      <c r="O34" s="14">
        <v>257</v>
      </c>
      <c r="P34" s="14">
        <v>52877</v>
      </c>
      <c r="Q34" s="77">
        <f t="shared" si="1"/>
        <v>19</v>
      </c>
      <c r="R34" s="24">
        <v>171563955</v>
      </c>
      <c r="S34" s="14">
        <v>2918870</v>
      </c>
      <c r="T34" s="14">
        <v>168645085</v>
      </c>
      <c r="U34" s="14">
        <v>250.21</v>
      </c>
      <c r="V34" s="14">
        <v>56168</v>
      </c>
      <c r="W34" s="77">
        <f t="shared" si="2"/>
        <v>21</v>
      </c>
      <c r="X34" s="37"/>
      <c r="Y34" s="38"/>
      <c r="AA34" s="75">
        <v>179277163</v>
      </c>
      <c r="AB34" s="76">
        <v>2303182</v>
      </c>
      <c r="AC34" s="76">
        <v>176973981</v>
      </c>
      <c r="AD34" s="76">
        <v>262</v>
      </c>
      <c r="AE34" s="76">
        <v>56289</v>
      </c>
      <c r="AF34" s="77">
        <f t="shared" si="3"/>
        <v>14</v>
      </c>
      <c r="AG34" s="432"/>
      <c r="AH34" s="24">
        <v>181206803</v>
      </c>
      <c r="AI34" s="14">
        <v>3235382</v>
      </c>
      <c r="AJ34" s="14">
        <v>177971421</v>
      </c>
      <c r="AK34" s="14">
        <v>262</v>
      </c>
      <c r="AL34" s="14">
        <v>56607</v>
      </c>
      <c r="AM34" s="77">
        <f t="shared" si="4"/>
        <v>16</v>
      </c>
      <c r="AN34" s="24">
        <v>178842968</v>
      </c>
      <c r="AO34" s="14">
        <v>2897179</v>
      </c>
      <c r="AP34" s="14">
        <v>175945789</v>
      </c>
      <c r="AQ34" s="14">
        <v>246.5</v>
      </c>
      <c r="AR34" s="14">
        <v>59481</v>
      </c>
      <c r="AS34" s="77">
        <f t="shared" si="5"/>
        <v>20</v>
      </c>
      <c r="AT34" s="37"/>
      <c r="AU34" s="38"/>
    </row>
    <row r="35" spans="1:47" ht="18" customHeight="1">
      <c r="A35" s="65">
        <v>355</v>
      </c>
      <c r="B35" s="68" t="s">
        <v>100</v>
      </c>
      <c r="C35" s="33" t="s">
        <v>202</v>
      </c>
      <c r="D35" s="41"/>
      <c r="E35" s="75">
        <v>0</v>
      </c>
      <c r="F35" s="76">
        <v>0</v>
      </c>
      <c r="G35" s="76">
        <v>0</v>
      </c>
      <c r="H35" s="76">
        <v>0</v>
      </c>
      <c r="I35" s="76">
        <v>0</v>
      </c>
      <c r="J35" s="77">
        <f t="shared" si="0"/>
        <v>33</v>
      </c>
      <c r="K35" s="432"/>
      <c r="L35" s="24">
        <v>0</v>
      </c>
      <c r="M35" s="14">
        <v>0</v>
      </c>
      <c r="N35" s="14">
        <v>0</v>
      </c>
      <c r="O35" s="14">
        <v>0</v>
      </c>
      <c r="P35" s="14">
        <v>0</v>
      </c>
      <c r="Q35" s="77">
        <f t="shared" si="1"/>
        <v>32</v>
      </c>
      <c r="R35" s="24">
        <v>0</v>
      </c>
      <c r="S35" s="14">
        <v>0</v>
      </c>
      <c r="T35" s="14">
        <v>0</v>
      </c>
      <c r="U35" s="14">
        <v>0</v>
      </c>
      <c r="V35" s="14">
        <v>0</v>
      </c>
      <c r="W35" s="77">
        <f t="shared" si="2"/>
        <v>32</v>
      </c>
      <c r="X35" s="37"/>
      <c r="Y35" s="38"/>
      <c r="AA35" s="75">
        <v>0</v>
      </c>
      <c r="AB35" s="76">
        <v>0</v>
      </c>
      <c r="AC35" s="76">
        <v>0</v>
      </c>
      <c r="AD35" s="76">
        <v>0</v>
      </c>
      <c r="AE35" s="76">
        <v>0</v>
      </c>
      <c r="AF35" s="77">
        <f t="shared" si="3"/>
        <v>32</v>
      </c>
      <c r="AG35" s="432"/>
      <c r="AH35" s="24">
        <v>0</v>
      </c>
      <c r="AI35" s="14">
        <v>0</v>
      </c>
      <c r="AJ35" s="14">
        <v>0</v>
      </c>
      <c r="AK35" s="14">
        <v>0</v>
      </c>
      <c r="AL35" s="14">
        <v>0</v>
      </c>
      <c r="AM35" s="77">
        <f t="shared" si="4"/>
        <v>32</v>
      </c>
      <c r="AN35" s="24">
        <v>0</v>
      </c>
      <c r="AO35" s="14">
        <v>0</v>
      </c>
      <c r="AP35" s="14">
        <v>0</v>
      </c>
      <c r="AQ35" s="14">
        <v>0</v>
      </c>
      <c r="AR35" s="14">
        <v>0</v>
      </c>
      <c r="AS35" s="77">
        <f t="shared" si="5"/>
        <v>32</v>
      </c>
      <c r="AT35" s="37"/>
      <c r="AU35" s="38"/>
    </row>
    <row r="36" spans="1:47" ht="18" customHeight="1">
      <c r="A36" s="65">
        <v>358</v>
      </c>
      <c r="B36" s="68" t="s">
        <v>50</v>
      </c>
      <c r="C36" s="33" t="s">
        <v>51</v>
      </c>
      <c r="D36" s="41"/>
      <c r="E36" s="145">
        <v>0</v>
      </c>
      <c r="F36" s="158">
        <v>0</v>
      </c>
      <c r="G36" s="158">
        <v>0</v>
      </c>
      <c r="H36" s="158">
        <v>0</v>
      </c>
      <c r="I36" s="158">
        <v>0</v>
      </c>
      <c r="J36" s="246">
        <f t="shared" si="0"/>
        <v>33</v>
      </c>
      <c r="K36" s="432"/>
      <c r="L36" s="159">
        <v>0</v>
      </c>
      <c r="M36" s="140">
        <v>0</v>
      </c>
      <c r="N36" s="140">
        <v>0</v>
      </c>
      <c r="O36" s="140">
        <v>0</v>
      </c>
      <c r="P36" s="140">
        <v>0</v>
      </c>
      <c r="Q36" s="246">
        <f t="shared" si="1"/>
        <v>32</v>
      </c>
      <c r="R36" s="159">
        <v>0</v>
      </c>
      <c r="S36" s="140">
        <v>0</v>
      </c>
      <c r="T36" s="140">
        <v>0</v>
      </c>
      <c r="U36" s="140">
        <v>0</v>
      </c>
      <c r="V36" s="140">
        <v>0</v>
      </c>
      <c r="W36" s="246">
        <f t="shared" si="2"/>
        <v>32</v>
      </c>
      <c r="X36" s="37"/>
      <c r="Y36" s="38"/>
      <c r="AA36" s="145">
        <v>0</v>
      </c>
      <c r="AB36" s="158">
        <v>0</v>
      </c>
      <c r="AC36" s="158">
        <v>0</v>
      </c>
      <c r="AD36" s="158">
        <v>0</v>
      </c>
      <c r="AE36" s="158">
        <v>0</v>
      </c>
      <c r="AF36" s="246">
        <f t="shared" si="3"/>
        <v>32</v>
      </c>
      <c r="AG36" s="432"/>
      <c r="AH36" s="159">
        <v>0</v>
      </c>
      <c r="AI36" s="140">
        <v>0</v>
      </c>
      <c r="AJ36" s="140">
        <v>0</v>
      </c>
      <c r="AK36" s="140">
        <v>0</v>
      </c>
      <c r="AL36" s="140">
        <v>0</v>
      </c>
      <c r="AM36" s="246">
        <f t="shared" si="4"/>
        <v>32</v>
      </c>
      <c r="AN36" s="159">
        <v>0</v>
      </c>
      <c r="AO36" s="140">
        <v>0</v>
      </c>
      <c r="AP36" s="140">
        <v>0</v>
      </c>
      <c r="AQ36" s="140">
        <v>0</v>
      </c>
      <c r="AR36" s="140">
        <v>0</v>
      </c>
      <c r="AS36" s="246">
        <f t="shared" si="5"/>
        <v>32</v>
      </c>
      <c r="AT36" s="37"/>
      <c r="AU36" s="38"/>
    </row>
    <row r="37" spans="1:47" ht="18" customHeight="1">
      <c r="A37" s="65">
        <v>359</v>
      </c>
      <c r="B37" s="68" t="s">
        <v>190</v>
      </c>
      <c r="C37" s="33" t="s">
        <v>203</v>
      </c>
      <c r="D37" s="41"/>
      <c r="E37" s="145">
        <v>0</v>
      </c>
      <c r="F37" s="158">
        <v>0</v>
      </c>
      <c r="G37" s="158">
        <v>0</v>
      </c>
      <c r="H37" s="158">
        <v>0</v>
      </c>
      <c r="I37" s="158">
        <v>0</v>
      </c>
      <c r="J37" s="246">
        <f t="shared" si="0"/>
        <v>33</v>
      </c>
      <c r="K37" s="432"/>
      <c r="L37" s="159">
        <v>0</v>
      </c>
      <c r="M37" s="140">
        <v>0</v>
      </c>
      <c r="N37" s="140">
        <v>0</v>
      </c>
      <c r="O37" s="140">
        <v>0</v>
      </c>
      <c r="P37" s="140">
        <v>0</v>
      </c>
      <c r="Q37" s="246">
        <f t="shared" si="1"/>
        <v>32</v>
      </c>
      <c r="R37" s="159">
        <v>0</v>
      </c>
      <c r="S37" s="140">
        <v>0</v>
      </c>
      <c r="T37" s="140">
        <v>0</v>
      </c>
      <c r="U37" s="140">
        <v>0</v>
      </c>
      <c r="V37" s="140">
        <v>0</v>
      </c>
      <c r="W37" s="246">
        <f t="shared" si="2"/>
        <v>32</v>
      </c>
      <c r="X37" s="37"/>
      <c r="Y37" s="38"/>
      <c r="AA37" s="145">
        <v>0</v>
      </c>
      <c r="AB37" s="158">
        <v>0</v>
      </c>
      <c r="AC37" s="158">
        <v>0</v>
      </c>
      <c r="AD37" s="158">
        <v>0</v>
      </c>
      <c r="AE37" s="158">
        <v>0</v>
      </c>
      <c r="AF37" s="246">
        <f t="shared" si="3"/>
        <v>32</v>
      </c>
      <c r="AG37" s="432"/>
      <c r="AH37" s="159">
        <v>0</v>
      </c>
      <c r="AI37" s="140">
        <v>0</v>
      </c>
      <c r="AJ37" s="140">
        <v>0</v>
      </c>
      <c r="AK37" s="140">
        <v>0</v>
      </c>
      <c r="AL37" s="140">
        <v>0</v>
      </c>
      <c r="AM37" s="246">
        <f t="shared" si="4"/>
        <v>32</v>
      </c>
      <c r="AN37" s="159">
        <v>0</v>
      </c>
      <c r="AO37" s="140">
        <v>0</v>
      </c>
      <c r="AP37" s="140">
        <v>0</v>
      </c>
      <c r="AQ37" s="140">
        <v>0</v>
      </c>
      <c r="AR37" s="140">
        <v>0</v>
      </c>
      <c r="AS37" s="246">
        <f t="shared" si="5"/>
        <v>32</v>
      </c>
      <c r="AT37" s="37"/>
      <c r="AU37" s="38"/>
    </row>
    <row r="38" spans="1:47" ht="18" customHeight="1">
      <c r="A38" s="65">
        <v>361</v>
      </c>
      <c r="B38" s="68" t="s">
        <v>52</v>
      </c>
      <c r="C38" s="33" t="s">
        <v>53</v>
      </c>
      <c r="D38" s="41"/>
      <c r="E38" s="145">
        <v>0</v>
      </c>
      <c r="F38" s="158">
        <v>0</v>
      </c>
      <c r="G38" s="158">
        <v>0</v>
      </c>
      <c r="H38" s="158">
        <v>0</v>
      </c>
      <c r="I38" s="158">
        <v>0</v>
      </c>
      <c r="J38" s="246">
        <f t="shared" si="0"/>
        <v>33</v>
      </c>
      <c r="K38" s="432"/>
      <c r="L38" s="159">
        <v>0</v>
      </c>
      <c r="M38" s="140">
        <v>0</v>
      </c>
      <c r="N38" s="140">
        <v>0</v>
      </c>
      <c r="O38" s="140">
        <v>0</v>
      </c>
      <c r="P38" s="140">
        <v>0</v>
      </c>
      <c r="Q38" s="246">
        <f t="shared" si="1"/>
        <v>32</v>
      </c>
      <c r="R38" s="159">
        <v>0</v>
      </c>
      <c r="S38" s="140">
        <v>0</v>
      </c>
      <c r="T38" s="140">
        <v>0</v>
      </c>
      <c r="U38" s="140">
        <v>0</v>
      </c>
      <c r="V38" s="140">
        <v>0</v>
      </c>
      <c r="W38" s="246">
        <f t="shared" si="2"/>
        <v>32</v>
      </c>
      <c r="X38" s="37"/>
      <c r="Y38" s="38"/>
      <c r="AA38" s="145">
        <v>0</v>
      </c>
      <c r="AB38" s="158">
        <v>0</v>
      </c>
      <c r="AC38" s="158">
        <v>0</v>
      </c>
      <c r="AD38" s="158">
        <v>0</v>
      </c>
      <c r="AE38" s="158">
        <v>0</v>
      </c>
      <c r="AF38" s="246">
        <f t="shared" si="3"/>
        <v>32</v>
      </c>
      <c r="AG38" s="432"/>
      <c r="AH38" s="159">
        <v>0</v>
      </c>
      <c r="AI38" s="140">
        <v>0</v>
      </c>
      <c r="AJ38" s="140">
        <v>0</v>
      </c>
      <c r="AK38" s="140">
        <v>0</v>
      </c>
      <c r="AL38" s="140">
        <v>0</v>
      </c>
      <c r="AM38" s="246">
        <f t="shared" si="4"/>
        <v>32</v>
      </c>
      <c r="AN38" s="159">
        <v>0</v>
      </c>
      <c r="AO38" s="140">
        <v>0</v>
      </c>
      <c r="AP38" s="140">
        <v>0</v>
      </c>
      <c r="AQ38" s="140">
        <v>0</v>
      </c>
      <c r="AR38" s="140">
        <v>0</v>
      </c>
      <c r="AS38" s="246">
        <f t="shared" si="5"/>
        <v>32</v>
      </c>
      <c r="AT38" s="37"/>
      <c r="AU38" s="38"/>
    </row>
    <row r="39" spans="1:47" ht="16.5" customHeight="1">
      <c r="A39" s="65">
        <v>362</v>
      </c>
      <c r="B39" s="68" t="s">
        <v>187</v>
      </c>
      <c r="C39" s="33" t="s">
        <v>204</v>
      </c>
      <c r="D39" s="42"/>
      <c r="E39" s="145">
        <v>44751509</v>
      </c>
      <c r="F39" s="158">
        <v>7256000</v>
      </c>
      <c r="G39" s="158">
        <v>37495509</v>
      </c>
      <c r="H39" s="158">
        <v>75</v>
      </c>
      <c r="I39" s="137">
        <v>41662</v>
      </c>
      <c r="J39" s="247">
        <f t="shared" si="0"/>
        <v>31</v>
      </c>
      <c r="K39" s="432"/>
      <c r="L39" s="159">
        <v>55647603</v>
      </c>
      <c r="M39" s="140">
        <v>7256000</v>
      </c>
      <c r="N39" s="140">
        <v>48391603</v>
      </c>
      <c r="O39" s="140">
        <v>76.5</v>
      </c>
      <c r="P39" s="140">
        <v>52714</v>
      </c>
      <c r="Q39" s="247">
        <f t="shared" si="1"/>
        <v>20</v>
      </c>
      <c r="R39" s="159">
        <v>54112609</v>
      </c>
      <c r="S39" s="140">
        <v>6769078</v>
      </c>
      <c r="T39" s="140">
        <v>47343531</v>
      </c>
      <c r="U39" s="140">
        <v>69.5</v>
      </c>
      <c r="V39" s="140">
        <v>56767</v>
      </c>
      <c r="W39" s="247">
        <f t="shared" si="2"/>
        <v>19</v>
      </c>
      <c r="X39" s="37"/>
      <c r="Y39" s="38"/>
      <c r="AA39" s="145">
        <v>58785983</v>
      </c>
      <c r="AB39" s="158">
        <v>7974800</v>
      </c>
      <c r="AC39" s="158">
        <v>50811183</v>
      </c>
      <c r="AD39" s="158">
        <v>78</v>
      </c>
      <c r="AE39" s="137">
        <v>54285</v>
      </c>
      <c r="AF39" s="247">
        <f t="shared" si="3"/>
        <v>24</v>
      </c>
      <c r="AG39" s="432"/>
      <c r="AH39" s="159">
        <v>61680984</v>
      </c>
      <c r="AI39" s="140">
        <v>7974800</v>
      </c>
      <c r="AJ39" s="140">
        <v>53706184</v>
      </c>
      <c r="AK39" s="140">
        <v>78</v>
      </c>
      <c r="AL39" s="140">
        <v>57378</v>
      </c>
      <c r="AM39" s="247">
        <f t="shared" si="4"/>
        <v>13</v>
      </c>
      <c r="AN39" s="159">
        <v>56777628</v>
      </c>
      <c r="AO39" s="140">
        <v>6986722</v>
      </c>
      <c r="AP39" s="140">
        <v>49790906</v>
      </c>
      <c r="AQ39" s="140">
        <v>72.14</v>
      </c>
      <c r="AR39" s="140">
        <v>57517</v>
      </c>
      <c r="AS39" s="247">
        <f t="shared" si="5"/>
        <v>24</v>
      </c>
      <c r="AT39" s="37"/>
      <c r="AU39" s="38"/>
    </row>
    <row r="40" spans="1:47" ht="16.5" customHeight="1">
      <c r="A40" s="65">
        <v>364</v>
      </c>
      <c r="B40" s="68" t="s">
        <v>219</v>
      </c>
      <c r="C40" s="33"/>
      <c r="D40" s="42"/>
      <c r="E40" s="145">
        <v>206924933</v>
      </c>
      <c r="F40" s="158">
        <v>5033240</v>
      </c>
      <c r="G40" s="158">
        <v>201891693</v>
      </c>
      <c r="H40" s="158">
        <v>207.5</v>
      </c>
      <c r="I40" s="137">
        <v>81081</v>
      </c>
      <c r="J40" s="247">
        <f t="shared" si="0"/>
        <v>1</v>
      </c>
      <c r="K40" s="432"/>
      <c r="L40" s="159">
        <v>320697811</v>
      </c>
      <c r="M40" s="140">
        <v>27316337</v>
      </c>
      <c r="N40" s="140">
        <v>293381474</v>
      </c>
      <c r="O40" s="140">
        <v>318</v>
      </c>
      <c r="P40" s="140">
        <v>76882</v>
      </c>
      <c r="Q40" s="247">
        <f t="shared" si="1"/>
        <v>1</v>
      </c>
      <c r="R40" s="159">
        <v>198051808</v>
      </c>
      <c r="S40" s="140">
        <v>19627971</v>
      </c>
      <c r="T40" s="140">
        <v>178423837</v>
      </c>
      <c r="U40" s="140">
        <v>212.01000000000002</v>
      </c>
      <c r="V40" s="140">
        <v>70132</v>
      </c>
      <c r="W40" s="247">
        <f t="shared" si="2"/>
        <v>1</v>
      </c>
      <c r="X40" s="37"/>
      <c r="Y40" s="38"/>
      <c r="AA40" s="145">
        <v>365737994</v>
      </c>
      <c r="AB40" s="158">
        <v>74543805</v>
      </c>
      <c r="AC40" s="158">
        <v>291194189</v>
      </c>
      <c r="AD40" s="158">
        <v>321</v>
      </c>
      <c r="AE40" s="137">
        <v>75596</v>
      </c>
      <c r="AF40" s="247">
        <f t="shared" si="3"/>
        <v>2</v>
      </c>
      <c r="AG40" s="432"/>
      <c r="AH40" s="159">
        <v>380322588</v>
      </c>
      <c r="AI40" s="140">
        <v>82421805</v>
      </c>
      <c r="AJ40" s="140">
        <v>297900783</v>
      </c>
      <c r="AK40" s="140">
        <v>327.83</v>
      </c>
      <c r="AL40" s="140">
        <v>75725</v>
      </c>
      <c r="AM40" s="247">
        <f t="shared" si="4"/>
        <v>2</v>
      </c>
      <c r="AN40" s="159">
        <v>284357859</v>
      </c>
      <c r="AO40" s="140">
        <v>32313529</v>
      </c>
      <c r="AP40" s="140">
        <v>252044330</v>
      </c>
      <c r="AQ40" s="140">
        <v>268.81</v>
      </c>
      <c r="AR40" s="140">
        <v>78136</v>
      </c>
      <c r="AS40" s="247">
        <f t="shared" si="5"/>
        <v>1</v>
      </c>
      <c r="AT40" s="37"/>
      <c r="AU40" s="38"/>
    </row>
    <row r="41" spans="1:47" ht="16.5" customHeight="1">
      <c r="A41" s="66">
        <v>371</v>
      </c>
      <c r="B41" s="69" t="s">
        <v>193</v>
      </c>
      <c r="C41" s="33" t="s">
        <v>205</v>
      </c>
      <c r="D41" s="42"/>
      <c r="E41" s="145">
        <v>16986049</v>
      </c>
      <c r="F41" s="158">
        <v>700000</v>
      </c>
      <c r="G41" s="158">
        <v>16286049</v>
      </c>
      <c r="H41" s="158">
        <v>19</v>
      </c>
      <c r="I41" s="158">
        <v>71430</v>
      </c>
      <c r="J41" s="246">
        <f t="shared" si="0"/>
        <v>2</v>
      </c>
      <c r="K41" s="432"/>
      <c r="L41" s="159">
        <v>16986049</v>
      </c>
      <c r="M41" s="140">
        <v>700000</v>
      </c>
      <c r="N41" s="140">
        <v>16286049</v>
      </c>
      <c r="O41" s="140">
        <v>19</v>
      </c>
      <c r="P41" s="140">
        <v>71430</v>
      </c>
      <c r="Q41" s="246">
        <f t="shared" si="1"/>
        <v>2</v>
      </c>
      <c r="R41" s="159">
        <v>15266854</v>
      </c>
      <c r="S41" s="140">
        <v>37875</v>
      </c>
      <c r="T41" s="140">
        <v>15228979</v>
      </c>
      <c r="U41" s="140">
        <v>18.399999999999999</v>
      </c>
      <c r="V41" s="140">
        <v>68972</v>
      </c>
      <c r="W41" s="246">
        <f t="shared" si="2"/>
        <v>2</v>
      </c>
      <c r="X41" s="37"/>
      <c r="Y41" s="38"/>
      <c r="AA41" s="145">
        <v>19462623</v>
      </c>
      <c r="AB41" s="158">
        <v>700000</v>
      </c>
      <c r="AC41" s="158">
        <v>18762623</v>
      </c>
      <c r="AD41" s="158">
        <v>20</v>
      </c>
      <c r="AE41" s="158">
        <v>78178</v>
      </c>
      <c r="AF41" s="246">
        <f t="shared" si="3"/>
        <v>1</v>
      </c>
      <c r="AG41" s="432"/>
      <c r="AH41" s="159">
        <v>19462623</v>
      </c>
      <c r="AI41" s="140">
        <v>700000</v>
      </c>
      <c r="AJ41" s="140">
        <v>18762623</v>
      </c>
      <c r="AK41" s="140">
        <v>20</v>
      </c>
      <c r="AL41" s="140">
        <v>78178</v>
      </c>
      <c r="AM41" s="246">
        <f t="shared" si="4"/>
        <v>1</v>
      </c>
      <c r="AN41" s="159">
        <v>18094945</v>
      </c>
      <c r="AO41" s="140">
        <v>28125</v>
      </c>
      <c r="AP41" s="140">
        <v>18066820</v>
      </c>
      <c r="AQ41" s="140">
        <v>19.53</v>
      </c>
      <c r="AR41" s="140">
        <v>77090</v>
      </c>
      <c r="AS41" s="246">
        <f t="shared" si="5"/>
        <v>2</v>
      </c>
      <c r="AT41" s="37"/>
      <c r="AU41" s="38"/>
    </row>
    <row r="42" spans="1:47" ht="18" customHeight="1">
      <c r="A42" s="65">
        <v>372</v>
      </c>
      <c r="B42" s="68" t="s">
        <v>54</v>
      </c>
      <c r="C42" s="33" t="s">
        <v>55</v>
      </c>
      <c r="D42" s="41"/>
      <c r="E42" s="145">
        <v>43284149</v>
      </c>
      <c r="F42" s="158">
        <v>17917296</v>
      </c>
      <c r="G42" s="158">
        <v>25366853</v>
      </c>
      <c r="H42" s="158">
        <v>48</v>
      </c>
      <c r="I42" s="158">
        <v>44040</v>
      </c>
      <c r="J42" s="246">
        <f t="shared" si="0"/>
        <v>28</v>
      </c>
      <c r="K42" s="432"/>
      <c r="L42" s="159">
        <v>42703882</v>
      </c>
      <c r="M42" s="140">
        <v>17337029</v>
      </c>
      <c r="N42" s="140">
        <v>25366853</v>
      </c>
      <c r="O42" s="140">
        <v>48</v>
      </c>
      <c r="P42" s="140">
        <v>44040</v>
      </c>
      <c r="Q42" s="246">
        <f t="shared" si="1"/>
        <v>30</v>
      </c>
      <c r="R42" s="159">
        <v>41385445</v>
      </c>
      <c r="S42" s="140">
        <v>17272632</v>
      </c>
      <c r="T42" s="140">
        <v>24112813</v>
      </c>
      <c r="U42" s="140">
        <v>44</v>
      </c>
      <c r="V42" s="140">
        <v>45668</v>
      </c>
      <c r="W42" s="246">
        <f t="shared" si="2"/>
        <v>30</v>
      </c>
      <c r="X42" s="37"/>
      <c r="Y42" s="38"/>
      <c r="AA42" s="145">
        <v>48661592</v>
      </c>
      <c r="AB42" s="158">
        <v>20188896</v>
      </c>
      <c r="AC42" s="158">
        <v>28472696</v>
      </c>
      <c r="AD42" s="158">
        <v>48</v>
      </c>
      <c r="AE42" s="158">
        <v>49432</v>
      </c>
      <c r="AF42" s="246">
        <f t="shared" si="3"/>
        <v>26</v>
      </c>
      <c r="AG42" s="432"/>
      <c r="AH42" s="159">
        <v>48661592</v>
      </c>
      <c r="AI42" s="140">
        <v>20188896</v>
      </c>
      <c r="AJ42" s="140">
        <v>28472696</v>
      </c>
      <c r="AK42" s="140">
        <v>48</v>
      </c>
      <c r="AL42" s="140">
        <v>49432</v>
      </c>
      <c r="AM42" s="246">
        <f t="shared" si="4"/>
        <v>27</v>
      </c>
      <c r="AN42" s="159">
        <v>46443629</v>
      </c>
      <c r="AO42" s="140">
        <v>19556123</v>
      </c>
      <c r="AP42" s="140">
        <v>26887506</v>
      </c>
      <c r="AQ42" s="140">
        <v>43</v>
      </c>
      <c r="AR42" s="140">
        <v>52108</v>
      </c>
      <c r="AS42" s="246">
        <f t="shared" si="5"/>
        <v>28</v>
      </c>
      <c r="AT42" s="37"/>
      <c r="AU42" s="38"/>
    </row>
    <row r="43" spans="1:47" ht="18" customHeight="1">
      <c r="A43" s="65">
        <v>373</v>
      </c>
      <c r="B43" s="68" t="s">
        <v>188</v>
      </c>
      <c r="C43" s="33"/>
      <c r="D43" s="41"/>
      <c r="E43" s="145">
        <v>15140797</v>
      </c>
      <c r="F43" s="158">
        <v>300000</v>
      </c>
      <c r="G43" s="158">
        <v>14840797</v>
      </c>
      <c r="H43" s="158">
        <v>23</v>
      </c>
      <c r="I43" s="158">
        <v>53771</v>
      </c>
      <c r="J43" s="246">
        <f t="shared" si="0"/>
        <v>12</v>
      </c>
      <c r="K43" s="432"/>
      <c r="L43" s="159"/>
      <c r="M43" s="140"/>
      <c r="N43" s="140"/>
      <c r="O43" s="140"/>
      <c r="P43" s="140"/>
      <c r="Q43" s="246"/>
      <c r="R43" s="159"/>
      <c r="S43" s="140"/>
      <c r="T43" s="140"/>
      <c r="U43" s="140"/>
      <c r="V43" s="140"/>
      <c r="W43" s="246"/>
      <c r="X43" s="37"/>
      <c r="Y43" s="38"/>
      <c r="AA43" s="145"/>
      <c r="AB43" s="158"/>
      <c r="AC43" s="158"/>
      <c r="AD43" s="158"/>
      <c r="AE43" s="158"/>
      <c r="AF43" s="246"/>
      <c r="AG43" s="432"/>
      <c r="AH43" s="159"/>
      <c r="AI43" s="140"/>
      <c r="AJ43" s="140"/>
      <c r="AK43" s="140"/>
      <c r="AL43" s="140"/>
      <c r="AM43" s="246"/>
      <c r="AN43" s="159"/>
      <c r="AO43" s="140"/>
      <c r="AP43" s="140"/>
      <c r="AQ43" s="140"/>
      <c r="AR43" s="140"/>
      <c r="AS43" s="246"/>
      <c r="AT43" s="37"/>
      <c r="AU43" s="38"/>
    </row>
    <row r="44" spans="1:47" ht="18" customHeight="1">
      <c r="A44" s="65">
        <v>374</v>
      </c>
      <c r="B44" s="68" t="s">
        <v>56</v>
      </c>
      <c r="C44" s="33" t="s">
        <v>57</v>
      </c>
      <c r="D44" s="41"/>
      <c r="E44" s="145">
        <v>205656880</v>
      </c>
      <c r="F44" s="158">
        <v>1357529</v>
      </c>
      <c r="G44" s="158">
        <v>204299351</v>
      </c>
      <c r="H44" s="158">
        <v>416</v>
      </c>
      <c r="I44" s="158">
        <v>40925</v>
      </c>
      <c r="J44" s="246">
        <f t="shared" si="0"/>
        <v>32</v>
      </c>
      <c r="K44" s="432"/>
      <c r="L44" s="159">
        <v>209421880</v>
      </c>
      <c r="M44" s="140">
        <v>1357529</v>
      </c>
      <c r="N44" s="140">
        <v>208064351</v>
      </c>
      <c r="O44" s="140">
        <v>416</v>
      </c>
      <c r="P44" s="140">
        <v>41680</v>
      </c>
      <c r="Q44" s="246">
        <f t="shared" ref="Q44:Q49" si="6">RANK(P44,P$6:P$49,0)</f>
        <v>31</v>
      </c>
      <c r="R44" s="159">
        <v>205569155</v>
      </c>
      <c r="S44" s="140">
        <v>1265364</v>
      </c>
      <c r="T44" s="140">
        <v>204303791</v>
      </c>
      <c r="U44" s="140">
        <v>373.85</v>
      </c>
      <c r="V44" s="140">
        <v>45540</v>
      </c>
      <c r="W44" s="246">
        <f t="shared" ref="W44:W49" si="7">RANK(V44,V$6:V$49,0)</f>
        <v>31</v>
      </c>
      <c r="X44" s="37"/>
      <c r="Y44" s="38"/>
      <c r="AA44" s="145">
        <v>215014318</v>
      </c>
      <c r="AB44" s="158">
        <v>1357529</v>
      </c>
      <c r="AC44" s="158">
        <v>213656789</v>
      </c>
      <c r="AD44" s="158">
        <v>416</v>
      </c>
      <c r="AE44" s="158">
        <v>42800</v>
      </c>
      <c r="AF44" s="246">
        <f t="shared" ref="AF44:AF49" si="8">RANK(AE44,AE$6:AE$49,0)</f>
        <v>31</v>
      </c>
      <c r="AG44" s="432"/>
      <c r="AH44" s="159">
        <v>215014318</v>
      </c>
      <c r="AI44" s="140">
        <v>1357529</v>
      </c>
      <c r="AJ44" s="140">
        <v>213656789</v>
      </c>
      <c r="AK44" s="140">
        <v>416</v>
      </c>
      <c r="AL44" s="140">
        <v>42800</v>
      </c>
      <c r="AM44" s="246">
        <f t="shared" ref="AM44:AM49" si="9">RANK(AL44,AL$6:AL$49,0)</f>
        <v>31</v>
      </c>
      <c r="AN44" s="159">
        <v>218663897</v>
      </c>
      <c r="AO44" s="140">
        <v>1847377</v>
      </c>
      <c r="AP44" s="140">
        <v>216816520</v>
      </c>
      <c r="AQ44" s="140">
        <v>376.14</v>
      </c>
      <c r="AR44" s="140">
        <v>48035</v>
      </c>
      <c r="AS44" s="246">
        <f t="shared" ref="AS44:AS49" si="10">RANK(AR44,AR$6:AR$49,0)</f>
        <v>31</v>
      </c>
      <c r="AT44" s="37"/>
      <c r="AU44" s="38"/>
    </row>
    <row r="45" spans="1:47" ht="16.5" customHeight="1">
      <c r="A45" s="65">
        <v>375</v>
      </c>
      <c r="B45" s="68" t="s">
        <v>58</v>
      </c>
      <c r="C45" s="33" t="s">
        <v>59</v>
      </c>
      <c r="D45" s="41"/>
      <c r="E45" s="145">
        <v>152152559</v>
      </c>
      <c r="F45" s="158">
        <v>2000700</v>
      </c>
      <c r="G45" s="158">
        <v>150151859</v>
      </c>
      <c r="H45" s="158">
        <v>218</v>
      </c>
      <c r="I45" s="158">
        <v>57397</v>
      </c>
      <c r="J45" s="246">
        <f t="shared" si="0"/>
        <v>5</v>
      </c>
      <c r="K45" s="432"/>
      <c r="L45" s="159">
        <v>152152559</v>
      </c>
      <c r="M45" s="140">
        <v>2000700</v>
      </c>
      <c r="N45" s="140">
        <v>150151859</v>
      </c>
      <c r="O45" s="140">
        <v>218</v>
      </c>
      <c r="P45" s="140">
        <v>57397</v>
      </c>
      <c r="Q45" s="246">
        <f t="shared" si="6"/>
        <v>10</v>
      </c>
      <c r="R45" s="159">
        <v>150907206</v>
      </c>
      <c r="S45" s="140">
        <v>2792212</v>
      </c>
      <c r="T45" s="140">
        <v>148114994</v>
      </c>
      <c r="U45" s="140">
        <v>196.82</v>
      </c>
      <c r="V45" s="140">
        <v>62712</v>
      </c>
      <c r="W45" s="246">
        <f t="shared" si="7"/>
        <v>7</v>
      </c>
      <c r="X45" s="37"/>
      <c r="Y45" s="38"/>
      <c r="AA45" s="145">
        <v>170611915</v>
      </c>
      <c r="AB45" s="158">
        <v>2000700</v>
      </c>
      <c r="AC45" s="158">
        <v>168611215</v>
      </c>
      <c r="AD45" s="158">
        <v>237</v>
      </c>
      <c r="AE45" s="158">
        <v>59287</v>
      </c>
      <c r="AF45" s="246">
        <f t="shared" si="8"/>
        <v>8</v>
      </c>
      <c r="AG45" s="432"/>
      <c r="AH45" s="159">
        <v>170611915</v>
      </c>
      <c r="AI45" s="140">
        <v>2000700</v>
      </c>
      <c r="AJ45" s="140">
        <v>168611215</v>
      </c>
      <c r="AK45" s="140">
        <v>237</v>
      </c>
      <c r="AL45" s="140">
        <v>59287</v>
      </c>
      <c r="AM45" s="246">
        <f t="shared" si="9"/>
        <v>9</v>
      </c>
      <c r="AN45" s="159">
        <v>165650329</v>
      </c>
      <c r="AO45" s="140">
        <v>3194379</v>
      </c>
      <c r="AP45" s="140">
        <v>162455950</v>
      </c>
      <c r="AQ45" s="140">
        <v>204.75</v>
      </c>
      <c r="AR45" s="140">
        <v>66120</v>
      </c>
      <c r="AS45" s="246">
        <f t="shared" si="10"/>
        <v>7</v>
      </c>
      <c r="AT45" s="37"/>
      <c r="AU45" s="38"/>
    </row>
    <row r="46" spans="1:47" ht="16.5" customHeight="1">
      <c r="A46" s="65">
        <v>376</v>
      </c>
      <c r="B46" s="68" t="s">
        <v>105</v>
      </c>
      <c r="C46" s="33" t="s">
        <v>207</v>
      </c>
      <c r="D46" s="42"/>
      <c r="E46" s="145">
        <v>0</v>
      </c>
      <c r="F46" s="158">
        <v>0</v>
      </c>
      <c r="G46" s="158">
        <v>0</v>
      </c>
      <c r="H46" s="158">
        <v>0</v>
      </c>
      <c r="I46" s="137">
        <v>0</v>
      </c>
      <c r="J46" s="247">
        <f t="shared" si="0"/>
        <v>33</v>
      </c>
      <c r="K46" s="432"/>
      <c r="L46" s="159">
        <v>0</v>
      </c>
      <c r="M46" s="140">
        <v>0</v>
      </c>
      <c r="N46" s="140">
        <v>0</v>
      </c>
      <c r="O46" s="140">
        <v>0</v>
      </c>
      <c r="P46" s="140">
        <v>0</v>
      </c>
      <c r="Q46" s="247">
        <f t="shared" si="6"/>
        <v>32</v>
      </c>
      <c r="R46" s="159">
        <v>0</v>
      </c>
      <c r="S46" s="140">
        <v>0</v>
      </c>
      <c r="T46" s="140">
        <v>0</v>
      </c>
      <c r="U46" s="140">
        <v>0</v>
      </c>
      <c r="V46" s="140">
        <v>0</v>
      </c>
      <c r="W46" s="247">
        <f t="shared" si="7"/>
        <v>32</v>
      </c>
      <c r="X46" s="37"/>
      <c r="Y46" s="38"/>
      <c r="AA46" s="145">
        <v>0</v>
      </c>
      <c r="AB46" s="158">
        <v>0</v>
      </c>
      <c r="AC46" s="158">
        <v>0</v>
      </c>
      <c r="AD46" s="158">
        <v>0</v>
      </c>
      <c r="AE46" s="137">
        <v>0</v>
      </c>
      <c r="AF46" s="247">
        <f t="shared" si="8"/>
        <v>32</v>
      </c>
      <c r="AG46" s="432"/>
      <c r="AH46" s="159">
        <v>0</v>
      </c>
      <c r="AI46" s="140">
        <v>0</v>
      </c>
      <c r="AJ46" s="140">
        <v>0</v>
      </c>
      <c r="AK46" s="140">
        <v>0</v>
      </c>
      <c r="AL46" s="140">
        <v>0</v>
      </c>
      <c r="AM46" s="247">
        <f t="shared" si="9"/>
        <v>32</v>
      </c>
      <c r="AN46" s="159">
        <v>0</v>
      </c>
      <c r="AO46" s="140">
        <v>0</v>
      </c>
      <c r="AP46" s="140">
        <v>0</v>
      </c>
      <c r="AQ46" s="140">
        <v>0</v>
      </c>
      <c r="AR46" s="140">
        <v>0</v>
      </c>
      <c r="AS46" s="247">
        <f t="shared" si="10"/>
        <v>32</v>
      </c>
      <c r="AT46" s="37"/>
      <c r="AU46" s="38"/>
    </row>
    <row r="47" spans="1:47" ht="16.25" customHeight="1">
      <c r="A47" s="66">
        <v>377</v>
      </c>
      <c r="B47" s="69" t="s">
        <v>163</v>
      </c>
      <c r="C47" s="33" t="s">
        <v>104</v>
      </c>
      <c r="D47" s="42"/>
      <c r="E47" s="145">
        <v>0</v>
      </c>
      <c r="F47" s="158">
        <v>0</v>
      </c>
      <c r="G47" s="158">
        <v>0</v>
      </c>
      <c r="H47" s="158">
        <v>0</v>
      </c>
      <c r="I47" s="158">
        <v>0</v>
      </c>
      <c r="J47" s="246">
        <f t="shared" si="0"/>
        <v>33</v>
      </c>
      <c r="K47" s="432"/>
      <c r="L47" s="159">
        <v>0</v>
      </c>
      <c r="M47" s="140">
        <v>0</v>
      </c>
      <c r="N47" s="140">
        <v>0</v>
      </c>
      <c r="O47" s="140">
        <v>0</v>
      </c>
      <c r="P47" s="140">
        <v>0</v>
      </c>
      <c r="Q47" s="246">
        <f t="shared" si="6"/>
        <v>32</v>
      </c>
      <c r="R47" s="159">
        <v>0</v>
      </c>
      <c r="S47" s="140">
        <v>0</v>
      </c>
      <c r="T47" s="140">
        <v>0</v>
      </c>
      <c r="U47" s="140">
        <v>0</v>
      </c>
      <c r="V47" s="140">
        <v>0</v>
      </c>
      <c r="W47" s="246">
        <f t="shared" si="7"/>
        <v>32</v>
      </c>
      <c r="X47" s="37"/>
      <c r="Y47" s="38"/>
      <c r="AA47" s="145">
        <v>0</v>
      </c>
      <c r="AB47" s="158">
        <v>0</v>
      </c>
      <c r="AC47" s="158">
        <v>0</v>
      </c>
      <c r="AD47" s="158">
        <v>0</v>
      </c>
      <c r="AE47" s="158">
        <v>0</v>
      </c>
      <c r="AF47" s="246">
        <f t="shared" si="8"/>
        <v>32</v>
      </c>
      <c r="AG47" s="432"/>
      <c r="AH47" s="159">
        <v>0</v>
      </c>
      <c r="AI47" s="140">
        <v>0</v>
      </c>
      <c r="AJ47" s="140">
        <v>0</v>
      </c>
      <c r="AK47" s="140">
        <v>0</v>
      </c>
      <c r="AL47" s="140">
        <v>0</v>
      </c>
      <c r="AM47" s="246">
        <f t="shared" si="9"/>
        <v>32</v>
      </c>
      <c r="AN47" s="159">
        <v>0</v>
      </c>
      <c r="AO47" s="140">
        <v>0</v>
      </c>
      <c r="AP47" s="140">
        <v>0</v>
      </c>
      <c r="AQ47" s="140">
        <v>0</v>
      </c>
      <c r="AR47" s="140">
        <v>0</v>
      </c>
      <c r="AS47" s="246">
        <f t="shared" si="10"/>
        <v>32</v>
      </c>
      <c r="AT47" s="37"/>
      <c r="AU47" s="38"/>
    </row>
    <row r="48" spans="1:47" ht="16.5" customHeight="1">
      <c r="A48" s="66">
        <v>378</v>
      </c>
      <c r="B48" s="69" t="s">
        <v>189</v>
      </c>
      <c r="C48" s="33" t="s">
        <v>208</v>
      </c>
      <c r="D48" s="42"/>
      <c r="E48" s="145">
        <v>239467965</v>
      </c>
      <c r="F48" s="158">
        <v>803648</v>
      </c>
      <c r="G48" s="158">
        <v>238664317</v>
      </c>
      <c r="H48" s="158">
        <v>373</v>
      </c>
      <c r="I48" s="158">
        <v>53321</v>
      </c>
      <c r="J48" s="246">
        <f t="shared" si="0"/>
        <v>14</v>
      </c>
      <c r="K48" s="432"/>
      <c r="L48" s="248">
        <v>239687745</v>
      </c>
      <c r="M48" s="249">
        <v>803648</v>
      </c>
      <c r="N48" s="249">
        <v>238884097</v>
      </c>
      <c r="O48" s="249">
        <v>373</v>
      </c>
      <c r="P48" s="249">
        <v>53370</v>
      </c>
      <c r="Q48" s="246">
        <f t="shared" si="6"/>
        <v>16</v>
      </c>
      <c r="R48" s="248">
        <v>239020211</v>
      </c>
      <c r="S48" s="249">
        <v>1894625</v>
      </c>
      <c r="T48" s="249">
        <v>237125586</v>
      </c>
      <c r="U48" s="249">
        <v>357.23</v>
      </c>
      <c r="V48" s="249">
        <v>55316</v>
      </c>
      <c r="W48" s="246">
        <f t="shared" si="7"/>
        <v>23</v>
      </c>
      <c r="X48" s="37"/>
      <c r="Y48" s="38"/>
      <c r="AA48" s="145">
        <v>259183747</v>
      </c>
      <c r="AB48" s="158">
        <v>803648</v>
      </c>
      <c r="AC48" s="158">
        <v>258380099</v>
      </c>
      <c r="AD48" s="158">
        <v>385</v>
      </c>
      <c r="AE48" s="158">
        <v>55926</v>
      </c>
      <c r="AF48" s="246">
        <f t="shared" si="8"/>
        <v>17</v>
      </c>
      <c r="AG48" s="432"/>
      <c r="AH48" s="248">
        <v>261641226</v>
      </c>
      <c r="AI48" s="249">
        <v>941502</v>
      </c>
      <c r="AJ48" s="249">
        <v>260699724</v>
      </c>
      <c r="AK48" s="249">
        <v>385.17</v>
      </c>
      <c r="AL48" s="249">
        <v>56404</v>
      </c>
      <c r="AM48" s="246">
        <f t="shared" si="9"/>
        <v>17</v>
      </c>
      <c r="AN48" s="248">
        <v>259017236</v>
      </c>
      <c r="AO48" s="249">
        <v>3805621</v>
      </c>
      <c r="AP48" s="249">
        <v>255211615</v>
      </c>
      <c r="AQ48" s="249">
        <v>364.76</v>
      </c>
      <c r="AR48" s="249">
        <v>58306</v>
      </c>
      <c r="AS48" s="246">
        <f t="shared" si="10"/>
        <v>23</v>
      </c>
      <c r="AT48" s="37"/>
      <c r="AU48" s="38"/>
    </row>
    <row r="49" spans="1:47" ht="16.5" customHeight="1" thickBot="1">
      <c r="A49" s="141">
        <v>381</v>
      </c>
      <c r="B49" s="142" t="s">
        <v>60</v>
      </c>
      <c r="C49" s="34" t="s">
        <v>61</v>
      </c>
      <c r="D49" s="42"/>
      <c r="E49" s="145">
        <v>0</v>
      </c>
      <c r="F49" s="158">
        <v>0</v>
      </c>
      <c r="G49" s="158">
        <v>0</v>
      </c>
      <c r="H49" s="158">
        <v>0</v>
      </c>
      <c r="I49" s="158">
        <v>0</v>
      </c>
      <c r="J49" s="246">
        <f t="shared" si="0"/>
        <v>33</v>
      </c>
      <c r="K49" s="432"/>
      <c r="L49" s="248">
        <v>0</v>
      </c>
      <c r="M49" s="249">
        <v>0</v>
      </c>
      <c r="N49" s="249">
        <v>0</v>
      </c>
      <c r="O49" s="249">
        <v>0</v>
      </c>
      <c r="P49" s="249">
        <v>0</v>
      </c>
      <c r="Q49" s="246">
        <f t="shared" si="6"/>
        <v>32</v>
      </c>
      <c r="R49" s="248">
        <v>0</v>
      </c>
      <c r="S49" s="249">
        <v>0</v>
      </c>
      <c r="T49" s="249">
        <v>0</v>
      </c>
      <c r="U49" s="249">
        <v>0</v>
      </c>
      <c r="V49" s="249">
        <v>0</v>
      </c>
      <c r="W49" s="246">
        <f t="shared" si="7"/>
        <v>32</v>
      </c>
      <c r="X49" s="37"/>
      <c r="Y49" s="38"/>
      <c r="AA49" s="145">
        <v>0</v>
      </c>
      <c r="AB49" s="158">
        <v>0</v>
      </c>
      <c r="AC49" s="158">
        <v>0</v>
      </c>
      <c r="AD49" s="158">
        <v>0</v>
      </c>
      <c r="AE49" s="158">
        <v>0</v>
      </c>
      <c r="AF49" s="246">
        <f t="shared" si="8"/>
        <v>32</v>
      </c>
      <c r="AG49" s="432"/>
      <c r="AH49" s="248">
        <v>0</v>
      </c>
      <c r="AI49" s="249">
        <v>0</v>
      </c>
      <c r="AJ49" s="249">
        <v>0</v>
      </c>
      <c r="AK49" s="249">
        <v>0</v>
      </c>
      <c r="AL49" s="249">
        <v>0</v>
      </c>
      <c r="AM49" s="246">
        <f t="shared" si="9"/>
        <v>32</v>
      </c>
      <c r="AN49" s="248">
        <v>0</v>
      </c>
      <c r="AO49" s="249">
        <v>0</v>
      </c>
      <c r="AP49" s="249">
        <v>0</v>
      </c>
      <c r="AQ49" s="249">
        <v>0</v>
      </c>
      <c r="AR49" s="249">
        <v>0</v>
      </c>
      <c r="AS49" s="246">
        <f t="shared" si="10"/>
        <v>32</v>
      </c>
      <c r="AT49" s="37"/>
      <c r="AU49" s="38"/>
    </row>
    <row r="50" spans="1:47" ht="14">
      <c r="A50" s="342" t="s">
        <v>167</v>
      </c>
      <c r="B50" s="343"/>
      <c r="C50" s="46"/>
      <c r="D50" s="43"/>
      <c r="E50" s="179"/>
      <c r="F50" s="176"/>
      <c r="G50" s="176"/>
      <c r="H50" s="176"/>
      <c r="I50" s="50"/>
      <c r="J50" s="51"/>
      <c r="K50" s="188"/>
      <c r="L50" s="49"/>
      <c r="M50" s="50"/>
      <c r="N50" s="50"/>
      <c r="O50" s="50"/>
      <c r="P50" s="50"/>
      <c r="Q50" s="51"/>
      <c r="R50" s="49"/>
      <c r="S50" s="50"/>
      <c r="T50" s="50"/>
      <c r="U50" s="50"/>
      <c r="V50" s="50"/>
      <c r="W50" s="51"/>
      <c r="X50" s="53"/>
      <c r="Y50" s="52"/>
      <c r="AA50" s="179"/>
      <c r="AB50" s="176"/>
      <c r="AC50" s="176"/>
      <c r="AD50" s="176"/>
      <c r="AE50" s="50"/>
      <c r="AF50" s="51"/>
      <c r="AG50" s="188"/>
      <c r="AH50" s="49"/>
      <c r="AI50" s="50"/>
      <c r="AJ50" s="50"/>
      <c r="AK50" s="50"/>
      <c r="AL50" s="50"/>
      <c r="AM50" s="51"/>
      <c r="AN50" s="49"/>
      <c r="AO50" s="50"/>
      <c r="AP50" s="50"/>
      <c r="AQ50" s="50"/>
      <c r="AR50" s="50"/>
      <c r="AS50" s="51"/>
      <c r="AT50" s="53"/>
      <c r="AU50" s="52"/>
    </row>
    <row r="51" spans="1:47" ht="14">
      <c r="A51" s="344"/>
      <c r="B51" s="345"/>
      <c r="C51" s="35" t="s">
        <v>62</v>
      </c>
      <c r="D51" s="43"/>
      <c r="E51" s="20">
        <f>SUM(E6:E49)</f>
        <v>19776225037</v>
      </c>
      <c r="F51" s="10">
        <f t="shared" ref="F51:H51" si="11">SUM(F6:F49)</f>
        <v>764397029</v>
      </c>
      <c r="G51" s="10">
        <f t="shared" si="11"/>
        <v>19011828008</v>
      </c>
      <c r="H51" s="10">
        <f t="shared" si="11"/>
        <v>31774.65</v>
      </c>
      <c r="I51" s="10">
        <f>IF(H51=0,0,ROUND(G51/H51/12,0))</f>
        <v>49861</v>
      </c>
      <c r="J51" s="11" t="s">
        <v>63</v>
      </c>
      <c r="K51" s="433"/>
      <c r="L51" s="20">
        <f>SUM(L6:L49)</f>
        <v>20372700979</v>
      </c>
      <c r="M51" s="10">
        <f t="shared" ref="M51:O51" si="12">SUM(M6:M49)</f>
        <v>910917647</v>
      </c>
      <c r="N51" s="10">
        <f t="shared" si="12"/>
        <v>19461783332</v>
      </c>
      <c r="O51" s="10">
        <f t="shared" si="12"/>
        <v>31908.07</v>
      </c>
      <c r="P51" s="10">
        <f>IF(O51=0,0,ROUND(N51/O51/12,0))</f>
        <v>50828</v>
      </c>
      <c r="Q51" s="11" t="s">
        <v>63</v>
      </c>
      <c r="R51" s="20">
        <f>SUM(R6:R49)</f>
        <v>19773828123.209999</v>
      </c>
      <c r="S51" s="10">
        <f t="shared" ref="S51:U51" si="13">SUM(S6:S49)</f>
        <v>816982891.36000001</v>
      </c>
      <c r="T51" s="10">
        <f t="shared" si="13"/>
        <v>18956845231.849998</v>
      </c>
      <c r="U51" s="10">
        <f t="shared" si="13"/>
        <v>27268.3</v>
      </c>
      <c r="V51" s="10">
        <f>IF(U51=0,0,ROUND(T51/U51/12,0))</f>
        <v>57933</v>
      </c>
      <c r="W51" s="11" t="s">
        <v>63</v>
      </c>
      <c r="X51" s="40"/>
      <c r="Y51" s="25"/>
      <c r="AA51" s="20">
        <f>SUM(AA6:AA49)</f>
        <v>21421752240</v>
      </c>
      <c r="AB51" s="10">
        <f t="shared" ref="AB51:AD51" si="14">SUM(AB6:AB49)</f>
        <v>898233840</v>
      </c>
      <c r="AC51" s="10">
        <f t="shared" si="14"/>
        <v>20523518400</v>
      </c>
      <c r="AD51" s="10">
        <f t="shared" si="14"/>
        <v>32026.386666666669</v>
      </c>
      <c r="AE51" s="10">
        <f>IF(AD51=0,0,ROUND(AC51/AD51/12,0))</f>
        <v>53403</v>
      </c>
      <c r="AF51" s="11" t="s">
        <v>63</v>
      </c>
      <c r="AG51" s="433"/>
      <c r="AH51" s="20">
        <f>SUM(AH6:AH49)</f>
        <v>21401083593</v>
      </c>
      <c r="AI51" s="10">
        <f>SUM(AI6:AI49)</f>
        <v>931097552</v>
      </c>
      <c r="AJ51" s="10">
        <f>SUM(AJ6:AJ49)</f>
        <v>20469986041</v>
      </c>
      <c r="AK51" s="10">
        <f>SUM(AK6:AK49)</f>
        <v>31199.45</v>
      </c>
      <c r="AL51" s="10">
        <f>IF(AK51=0,0,ROUND(AJ51/AK51/12,0))</f>
        <v>54675</v>
      </c>
      <c r="AM51" s="11" t="s">
        <v>63</v>
      </c>
      <c r="AN51" s="20">
        <f>SUM(AN6:AN49)</f>
        <v>21151699564.790001</v>
      </c>
      <c r="AO51" s="10">
        <f>SUM(AO6:AO49)</f>
        <v>844997695.75</v>
      </c>
      <c r="AP51" s="10">
        <f>SUM(AP6:AP49)</f>
        <v>20306701869.039997</v>
      </c>
      <c r="AQ51" s="10">
        <f>SUM(AQ6:AQ49)</f>
        <v>27567.670000000002</v>
      </c>
      <c r="AR51" s="10">
        <f>IF(AQ51=0,0,ROUND(AP51/AQ51/12,0))</f>
        <v>61384</v>
      </c>
      <c r="AS51" s="11" t="s">
        <v>63</v>
      </c>
      <c r="AT51" s="40"/>
      <c r="AU51" s="25"/>
    </row>
    <row r="52" spans="1:47" ht="21" customHeight="1" thickBot="1">
      <c r="A52" s="346"/>
      <c r="B52" s="347"/>
      <c r="C52" s="36"/>
      <c r="D52" s="44"/>
      <c r="E52" s="21"/>
      <c r="F52" s="171"/>
      <c r="G52" s="171"/>
      <c r="H52" s="171"/>
      <c r="I52" s="22"/>
      <c r="J52" s="23"/>
      <c r="K52" s="189"/>
      <c r="L52" s="21"/>
      <c r="M52" s="22"/>
      <c r="N52" s="22"/>
      <c r="O52" s="22"/>
      <c r="P52" s="22"/>
      <c r="Q52" s="23"/>
      <c r="R52" s="21"/>
      <c r="S52" s="22"/>
      <c r="T52" s="22"/>
      <c r="U52" s="22"/>
      <c r="V52" s="22"/>
      <c r="W52" s="23"/>
      <c r="X52" s="21"/>
      <c r="Y52" s="23"/>
      <c r="AA52" s="21"/>
      <c r="AB52" s="171"/>
      <c r="AC52" s="171"/>
      <c r="AD52" s="171"/>
      <c r="AE52" s="22"/>
      <c r="AF52" s="23"/>
      <c r="AG52" s="189"/>
      <c r="AH52" s="21"/>
      <c r="AI52" s="22"/>
      <c r="AJ52" s="22"/>
      <c r="AK52" s="22"/>
      <c r="AL52" s="22"/>
      <c r="AM52" s="23"/>
      <c r="AN52" s="21"/>
      <c r="AO52" s="22"/>
      <c r="AP52" s="22"/>
      <c r="AQ52" s="22"/>
      <c r="AR52" s="22"/>
      <c r="AS52" s="23"/>
      <c r="AT52" s="21"/>
      <c r="AU52" s="23"/>
    </row>
    <row r="54" spans="1:47">
      <c r="A54" s="17"/>
      <c r="B54" s="17"/>
      <c r="C54" s="117"/>
      <c r="D54" s="117"/>
      <c r="E54" s="17" t="b">
        <f>E51=SUMAR!E6</f>
        <v>1</v>
      </c>
      <c r="F54" s="17" t="b">
        <f>F51=SUMAR!F6</f>
        <v>1</v>
      </c>
      <c r="G54" s="17" t="b">
        <f>G51=SUMAR!G6</f>
        <v>1</v>
      </c>
      <c r="H54" s="17" t="b">
        <f>H51=SUMAR!H6</f>
        <v>1</v>
      </c>
      <c r="I54" s="17" t="b">
        <f>ROUND(I51,0)=ROUND(SUMAR!I6,0)</f>
        <v>1</v>
      </c>
      <c r="J54" s="17"/>
      <c r="K54" s="9"/>
      <c r="L54" s="17" t="b">
        <f>L51=SUMAR!L6</f>
        <v>1</v>
      </c>
      <c r="M54" s="17" t="b">
        <f>M51=SUMAR!M6</f>
        <v>1</v>
      </c>
      <c r="N54" s="17" t="b">
        <f>N51=SUMAR!N6</f>
        <v>1</v>
      </c>
      <c r="O54" s="17" t="b">
        <f>O51=SUMAR!O6</f>
        <v>1</v>
      </c>
      <c r="P54" s="17" t="b">
        <f>ROUND(P51,0)=ROUND(SUMAR!P6,0)</f>
        <v>1</v>
      </c>
      <c r="Q54" s="17"/>
      <c r="R54" s="17" t="b">
        <f>R51=SUMAR!R6</f>
        <v>1</v>
      </c>
      <c r="S54" s="17" t="b">
        <f>S51=SUMAR!S6</f>
        <v>1</v>
      </c>
      <c r="T54" s="17" t="b">
        <f>T51=SUMAR!T6</f>
        <v>1</v>
      </c>
      <c r="U54" s="17" t="b">
        <f>U51=SUMAR!U6</f>
        <v>1</v>
      </c>
      <c r="V54" s="17" t="b">
        <f>ROUND(V51,0)=ROUND(SUMAR!V6,0)</f>
        <v>1</v>
      </c>
      <c r="W54" s="17"/>
      <c r="X54" s="9"/>
      <c r="Y54" s="9"/>
      <c r="AA54" s="17" t="b">
        <f>AA51=SUMAR!AA6</f>
        <v>1</v>
      </c>
      <c r="AB54" s="17" t="b">
        <f>AB51=SUMAR!AB6</f>
        <v>1</v>
      </c>
      <c r="AC54" s="17" t="b">
        <f>AC51=SUMAR!AC6</f>
        <v>1</v>
      </c>
      <c r="AD54" s="17" t="b">
        <f>AD51=SUMAR!AD6</f>
        <v>1</v>
      </c>
      <c r="AE54" s="17" t="b">
        <f>ROUND(AE51,0)=ROUND(SUMAR!AE6,0)</f>
        <v>1</v>
      </c>
      <c r="AF54" s="17"/>
      <c r="AG54" s="9"/>
      <c r="AH54" s="17" t="b">
        <f>AH51=SUMAR!AH6</f>
        <v>1</v>
      </c>
      <c r="AI54" s="17" t="b">
        <f>AI51=SUMAR!AI6</f>
        <v>1</v>
      </c>
      <c r="AJ54" s="17" t="b">
        <f>AJ51=SUMAR!AJ6</f>
        <v>1</v>
      </c>
      <c r="AK54" s="17" t="b">
        <f>AK51=SUMAR!AK6</f>
        <v>1</v>
      </c>
      <c r="AL54" s="17" t="b">
        <f>ROUND(AL51,0)=ROUND(SUMAR!AL6,0)</f>
        <v>1</v>
      </c>
      <c r="AM54" s="17"/>
      <c r="AN54" s="17" t="b">
        <f>AN51=SUMAR!AN6</f>
        <v>1</v>
      </c>
      <c r="AO54" s="17" t="b">
        <f>AO51=SUMAR!AO6</f>
        <v>1</v>
      </c>
      <c r="AP54" s="17" t="b">
        <f>AP51=SUMAR!AP6</f>
        <v>1</v>
      </c>
      <c r="AQ54" s="17" t="b">
        <f>AQ51=SUMAR!AQ6</f>
        <v>1</v>
      </c>
      <c r="AR54" s="17" t="b">
        <f>ROUND(AR51,0)=ROUND(SUMAR!AR6,0)</f>
        <v>1</v>
      </c>
      <c r="AS54" s="17"/>
      <c r="AT54" s="9"/>
      <c r="AU54" s="9"/>
    </row>
    <row r="55" spans="1:47">
      <c r="E55" s="7"/>
      <c r="F55" s="173"/>
      <c r="G55" s="173"/>
      <c r="H55" s="173"/>
      <c r="I55" s="7"/>
    </row>
    <row r="56" spans="1:47">
      <c r="E56" s="9"/>
      <c r="F56" s="173"/>
      <c r="I56" s="9"/>
      <c r="J56" s="9"/>
      <c r="K56" s="9"/>
      <c r="L56" s="60"/>
      <c r="M56" s="60"/>
      <c r="N56" s="60"/>
      <c r="O56" s="60"/>
      <c r="P56" s="60"/>
      <c r="Q56" s="9"/>
      <c r="R56" s="9"/>
      <c r="S56" s="9"/>
      <c r="T56" s="9"/>
      <c r="U56" s="9"/>
      <c r="V56" s="9"/>
      <c r="W56" s="9"/>
      <c r="X56" s="9"/>
      <c r="Y56" s="9"/>
      <c r="AG56" s="9"/>
      <c r="AT56" s="9"/>
      <c r="AU56" s="9"/>
    </row>
    <row r="57" spans="1:47">
      <c r="E57" s="7"/>
      <c r="F57" s="173"/>
      <c r="H57" s="173"/>
      <c r="I57" s="7"/>
    </row>
    <row r="58" spans="1:47">
      <c r="A58" s="165"/>
      <c r="B58" s="165"/>
      <c r="C58" s="169"/>
      <c r="D58" s="169"/>
      <c r="E58" s="163"/>
      <c r="F58" s="173"/>
      <c r="H58" s="175"/>
      <c r="I58" s="163"/>
      <c r="J58" s="163"/>
      <c r="K58" s="9"/>
      <c r="L58" s="167"/>
      <c r="M58" s="167"/>
      <c r="N58" s="167"/>
      <c r="O58" s="167"/>
      <c r="P58" s="167"/>
      <c r="Q58" s="163"/>
      <c r="R58" s="163"/>
      <c r="S58" s="163"/>
      <c r="T58" s="163"/>
      <c r="U58" s="163"/>
      <c r="V58" s="163"/>
      <c r="W58" s="163"/>
      <c r="X58" s="9"/>
      <c r="Y58" s="9"/>
      <c r="AA58" s="163"/>
      <c r="AB58" s="163"/>
      <c r="AC58" s="163"/>
      <c r="AD58" s="163"/>
      <c r="AE58" s="163"/>
      <c r="AF58" s="163"/>
      <c r="AG58" s="9"/>
      <c r="AH58" s="163"/>
      <c r="AI58" s="163"/>
      <c r="AJ58" s="163"/>
      <c r="AK58" s="163"/>
      <c r="AL58" s="163"/>
      <c r="AM58" s="163"/>
      <c r="AN58" s="163"/>
      <c r="AO58" s="163"/>
      <c r="AP58" s="163"/>
      <c r="AQ58" s="163"/>
      <c r="AR58" s="163"/>
      <c r="AS58" s="163"/>
      <c r="AT58" s="9"/>
      <c r="AU58" s="9"/>
    </row>
    <row r="59" spans="1:47">
      <c r="A59" s="163"/>
      <c r="B59" s="163"/>
      <c r="C59" s="164"/>
      <c r="D59" s="164"/>
      <c r="E59" s="165"/>
      <c r="F59" s="173"/>
      <c r="H59" s="174"/>
      <c r="I59" s="165"/>
      <c r="J59" s="163"/>
      <c r="L59" s="163"/>
      <c r="M59" s="163"/>
      <c r="N59" s="163"/>
      <c r="O59" s="163"/>
      <c r="P59" s="163"/>
      <c r="Q59" s="163"/>
      <c r="R59" s="163"/>
      <c r="S59" s="163"/>
      <c r="T59" s="163"/>
      <c r="U59" s="163"/>
      <c r="V59" s="163"/>
      <c r="W59" s="163"/>
      <c r="AA59" s="163"/>
      <c r="AB59" s="163"/>
      <c r="AC59" s="163"/>
      <c r="AD59" s="163"/>
      <c r="AE59" s="163"/>
      <c r="AF59" s="163"/>
      <c r="AH59" s="163"/>
      <c r="AI59" s="163"/>
      <c r="AJ59" s="163"/>
      <c r="AK59" s="163"/>
      <c r="AL59" s="163"/>
      <c r="AM59" s="163"/>
      <c r="AN59" s="163"/>
      <c r="AO59" s="163"/>
      <c r="AP59" s="163"/>
      <c r="AQ59" s="163"/>
      <c r="AR59" s="163"/>
      <c r="AS59" s="163"/>
    </row>
    <row r="60" spans="1:47">
      <c r="F60" s="173"/>
    </row>
    <row r="61" spans="1:47">
      <c r="F61" s="173"/>
    </row>
    <row r="62" spans="1:47">
      <c r="F62" s="173"/>
    </row>
    <row r="63" spans="1:47">
      <c r="F63" s="173"/>
    </row>
    <row r="64" spans="1:47">
      <c r="F64" s="173"/>
    </row>
    <row r="65" spans="6:6">
      <c r="F65" s="173"/>
    </row>
    <row r="66" spans="6:6">
      <c r="F66" s="173"/>
    </row>
    <row r="67" spans="6:6">
      <c r="F67" s="173"/>
    </row>
    <row r="68" spans="6:6">
      <c r="F68" s="173"/>
    </row>
    <row r="69" spans="6:6">
      <c r="F69" s="173"/>
    </row>
    <row r="70" spans="6:6">
      <c r="F70" s="173"/>
    </row>
    <row r="71" spans="6:6">
      <c r="F71" s="173"/>
    </row>
    <row r="72" spans="6:6">
      <c r="F72" s="173"/>
    </row>
    <row r="73" spans="6:6">
      <c r="F73" s="173"/>
    </row>
    <row r="74" spans="6:6">
      <c r="F74" s="173"/>
    </row>
    <row r="75" spans="6:6">
      <c r="F75" s="173"/>
    </row>
    <row r="76" spans="6:6">
      <c r="F76" s="173"/>
    </row>
    <row r="77" spans="6:6">
      <c r="F77" s="173"/>
    </row>
    <row r="78" spans="6:6">
      <c r="F78" s="173"/>
    </row>
    <row r="79" spans="6:6">
      <c r="F79" s="173"/>
    </row>
    <row r="80" spans="6:6">
      <c r="F80" s="173"/>
    </row>
    <row r="81" spans="6:6">
      <c r="F81" s="173"/>
    </row>
    <row r="82" spans="6:6">
      <c r="F82" s="173"/>
    </row>
    <row r="83" spans="6:6">
      <c r="F83" s="173"/>
    </row>
    <row r="84" spans="6:6">
      <c r="F84" s="173"/>
    </row>
    <row r="85" spans="6:6">
      <c r="F85" s="173"/>
    </row>
    <row r="86" spans="6:6">
      <c r="F86" s="173"/>
    </row>
    <row r="87" spans="6:6">
      <c r="F87" s="173"/>
    </row>
    <row r="88" spans="6:6">
      <c r="F88" s="173"/>
    </row>
    <row r="89" spans="6:6">
      <c r="F89" s="173"/>
    </row>
    <row r="90" spans="6:6">
      <c r="F90" s="173"/>
    </row>
    <row r="91" spans="6:6">
      <c r="F91" s="173"/>
    </row>
    <row r="92" spans="6:6">
      <c r="F92" s="173"/>
    </row>
    <row r="93" spans="6:6">
      <c r="F93" s="173"/>
    </row>
    <row r="94" spans="6:6">
      <c r="F94" s="173"/>
    </row>
    <row r="95" spans="6:6">
      <c r="F95" s="173"/>
    </row>
    <row r="96" spans="6:6">
      <c r="F96" s="173"/>
    </row>
    <row r="97" spans="5:7">
      <c r="E97" s="6" t="s">
        <v>199</v>
      </c>
      <c r="F97" s="173">
        <v>378</v>
      </c>
      <c r="G97" s="172" t="b">
        <v>1</v>
      </c>
    </row>
    <row r="98" spans="5:7">
      <c r="E98" s="6" t="s">
        <v>200</v>
      </c>
      <c r="F98" s="173">
        <v>381</v>
      </c>
      <c r="G98" s="172" t="b">
        <v>1</v>
      </c>
    </row>
  </sheetData>
  <mergeCells count="61">
    <mergeCell ref="AG1:AG2"/>
    <mergeCell ref="AG3:AG5"/>
    <mergeCell ref="AT1:AU2"/>
    <mergeCell ref="AT3:AT5"/>
    <mergeCell ref="AU3:AU5"/>
    <mergeCell ref="L3:L5"/>
    <mergeCell ref="M3:N3"/>
    <mergeCell ref="O3:O5"/>
    <mergeCell ref="P3:P5"/>
    <mergeCell ref="A50:B52"/>
    <mergeCell ref="A1:A5"/>
    <mergeCell ref="B1:B5"/>
    <mergeCell ref="K1:K2"/>
    <mergeCell ref="K3:K5"/>
    <mergeCell ref="M4:M5"/>
    <mergeCell ref="N4:N5"/>
    <mergeCell ref="S4:S5"/>
    <mergeCell ref="T4:T5"/>
    <mergeCell ref="R3:R5"/>
    <mergeCell ref="S3:T3"/>
    <mergeCell ref="E3:E5"/>
    <mergeCell ref="F3:G3"/>
    <mergeCell ref="H3:H5"/>
    <mergeCell ref="I3:I5"/>
    <mergeCell ref="J3:J5"/>
    <mergeCell ref="F4:F5"/>
    <mergeCell ref="G4:G5"/>
    <mergeCell ref="AN1:AS2"/>
    <mergeCell ref="AB3:AC3"/>
    <mergeCell ref="AD3:AD5"/>
    <mergeCell ref="AE3:AE5"/>
    <mergeCell ref="AF3:AF5"/>
    <mergeCell ref="AH3:AH5"/>
    <mergeCell ref="AI3:AJ3"/>
    <mergeCell ref="AK3:AK5"/>
    <mergeCell ref="AL3:AL5"/>
    <mergeCell ref="AM3:AM5"/>
    <mergeCell ref="AN3:AN5"/>
    <mergeCell ref="AO3:AP3"/>
    <mergeCell ref="AQ3:AQ5"/>
    <mergeCell ref="AR3:AR5"/>
    <mergeCell ref="AS3:AS5"/>
    <mergeCell ref="AB4:AB5"/>
    <mergeCell ref="E1:J2"/>
    <mergeCell ref="L1:Q2"/>
    <mergeCell ref="R1:W2"/>
    <mergeCell ref="AA1:AF2"/>
    <mergeCell ref="AH1:AM2"/>
    <mergeCell ref="X1:Y2"/>
    <mergeCell ref="AI4:AI5"/>
    <mergeCell ref="AJ4:AJ5"/>
    <mergeCell ref="AO4:AO5"/>
    <mergeCell ref="AP4:AP5"/>
    <mergeCell ref="Q3:Q5"/>
    <mergeCell ref="AC4:AC5"/>
    <mergeCell ref="U3:U5"/>
    <mergeCell ref="V3:V5"/>
    <mergeCell ref="W3:W5"/>
    <mergeCell ref="AA3:AA5"/>
    <mergeCell ref="X3:X5"/>
    <mergeCell ref="Y3:Y5"/>
  </mergeCells>
  <printOptions horizontalCentered="1" verticalCentered="1"/>
  <pageMargins left="0.59055118110236227" right="0.51181102362204722" top="0.39370078740157483" bottom="0.19685039370078741" header="0.39370078740157483" footer="0.19685039370078741"/>
  <pageSetup paperSize="9" scale="55" pageOrder="overThenDown" orientation="landscape"/>
  <headerFooter alignWithMargins="0">
    <oddHeader>&amp;C&amp;"Arial CE,tučné"Přehled o vývoji počtu zaměstnanců a objemech mezd od roku  1 9 9 3
za   R O P O  c e l k e m
&amp;R&amp;A   -   &amp;F</oddHeader>
    <oddFooter>&amp;C6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List7"/>
  <dimension ref="A1:AU97"/>
  <sheetViews>
    <sheetView zoomScale="90" zoomScaleNormal="90" workbookViewId="0">
      <pane xSplit="3" ySplit="5" topLeftCell="R6" activePane="bottomRight" state="frozen"/>
      <selection activeCell="HC12" sqref="HC12"/>
      <selection pane="topRight" activeCell="HC12" sqref="HC12"/>
      <selection pane="bottomLeft" activeCell="HC12" sqref="HC12"/>
      <selection pane="bottomRight" activeCell="X1" sqref="X1:Y1048576"/>
    </sheetView>
  </sheetViews>
  <sheetFormatPr baseColWidth="10" defaultColWidth="11.5" defaultRowHeight="13"/>
  <cols>
    <col min="1" max="1" width="9.33203125" style="6" customWidth="1"/>
    <col min="2" max="2" width="13.1640625" style="6" customWidth="1"/>
    <col min="3" max="3" width="37" style="13" customWidth="1"/>
    <col min="4" max="4" width="3.6640625" style="13" customWidth="1"/>
    <col min="5" max="5" width="15.83203125" style="6" customWidth="1"/>
    <col min="6" max="6" width="15.33203125" style="172" customWidth="1"/>
    <col min="7" max="7" width="16.5" style="172" customWidth="1"/>
    <col min="8" max="8" width="12.83203125" style="172" customWidth="1"/>
    <col min="9" max="9" width="12.33203125" style="6" customWidth="1"/>
    <col min="10" max="10" width="11.5" style="6" customWidth="1"/>
    <col min="11" max="11" width="11.5" style="6"/>
    <col min="12" max="12" width="16.6640625" style="6" customWidth="1"/>
    <col min="13" max="13" width="13.1640625" style="6" customWidth="1"/>
    <col min="14" max="14" width="16.5" style="6" customWidth="1"/>
    <col min="15" max="15" width="13.33203125" style="6" customWidth="1"/>
    <col min="16" max="17" width="9.1640625" style="6" customWidth="1"/>
    <col min="18" max="18" width="15.6640625" style="6" customWidth="1"/>
    <col min="19" max="19" width="13.33203125" style="6" customWidth="1"/>
    <col min="20" max="20" width="16" style="6" customWidth="1"/>
    <col min="21" max="21" width="12.6640625" style="6" customWidth="1"/>
    <col min="22" max="23" width="9.1640625" style="6" customWidth="1"/>
    <col min="24" max="25" width="11.5" style="6"/>
    <col min="26" max="26" width="9.1640625" customWidth="1"/>
    <col min="27" max="27" width="16.6640625" style="6" customWidth="1"/>
    <col min="28" max="28" width="13" style="6" customWidth="1"/>
    <col min="29" max="29" width="15.33203125" style="6" customWidth="1"/>
    <col min="30" max="33" width="11.5" style="6"/>
    <col min="34" max="34" width="15.5" style="6" customWidth="1"/>
    <col min="35" max="35" width="13" style="6" customWidth="1"/>
    <col min="36" max="36" width="14.6640625" style="6" customWidth="1"/>
    <col min="37" max="39" width="11.5" style="6"/>
    <col min="40" max="40" width="15.1640625" style="6" customWidth="1"/>
    <col min="41" max="41" width="14.5" style="6" customWidth="1"/>
    <col min="42" max="42" width="16" style="6" customWidth="1"/>
    <col min="43" max="47" width="11.5" style="6"/>
  </cols>
  <sheetData>
    <row r="1" spans="1:47" ht="14" customHeight="1" thickTop="1">
      <c r="A1" s="323" t="s">
        <v>131</v>
      </c>
      <c r="B1" s="348" t="s">
        <v>132</v>
      </c>
      <c r="C1" s="28"/>
      <c r="D1" s="54"/>
      <c r="E1" s="310" t="s">
        <v>220</v>
      </c>
      <c r="F1" s="311"/>
      <c r="G1" s="311"/>
      <c r="H1" s="311"/>
      <c r="I1" s="311"/>
      <c r="J1" s="312"/>
      <c r="K1" s="370" t="s">
        <v>162</v>
      </c>
      <c r="L1" s="310" t="s">
        <v>221</v>
      </c>
      <c r="M1" s="311"/>
      <c r="N1" s="311"/>
      <c r="O1" s="311"/>
      <c r="P1" s="311"/>
      <c r="Q1" s="312"/>
      <c r="R1" s="310" t="s">
        <v>222</v>
      </c>
      <c r="S1" s="311"/>
      <c r="T1" s="311"/>
      <c r="U1" s="311"/>
      <c r="V1" s="311"/>
      <c r="W1" s="312"/>
      <c r="X1" s="372" t="s">
        <v>162</v>
      </c>
      <c r="Y1" s="373"/>
      <c r="AA1" s="310" t="s">
        <v>224</v>
      </c>
      <c r="AB1" s="311"/>
      <c r="AC1" s="311"/>
      <c r="AD1" s="311"/>
      <c r="AE1" s="311"/>
      <c r="AF1" s="312"/>
      <c r="AG1" s="370" t="s">
        <v>162</v>
      </c>
      <c r="AH1" s="310" t="s">
        <v>225</v>
      </c>
      <c r="AI1" s="311"/>
      <c r="AJ1" s="311"/>
      <c r="AK1" s="311"/>
      <c r="AL1" s="311"/>
      <c r="AM1" s="312"/>
      <c r="AN1" s="310" t="s">
        <v>226</v>
      </c>
      <c r="AO1" s="311"/>
      <c r="AP1" s="311"/>
      <c r="AQ1" s="311"/>
      <c r="AR1" s="311"/>
      <c r="AS1" s="312"/>
      <c r="AT1" s="372" t="s">
        <v>162</v>
      </c>
      <c r="AU1" s="373"/>
    </row>
    <row r="2" spans="1:47" ht="30" customHeight="1" thickBot="1">
      <c r="A2" s="324"/>
      <c r="B2" s="349"/>
      <c r="C2" s="29"/>
      <c r="D2" s="55"/>
      <c r="E2" s="313"/>
      <c r="F2" s="314"/>
      <c r="G2" s="314"/>
      <c r="H2" s="314"/>
      <c r="I2" s="314"/>
      <c r="J2" s="315"/>
      <c r="K2" s="371"/>
      <c r="L2" s="313"/>
      <c r="M2" s="314"/>
      <c r="N2" s="314"/>
      <c r="O2" s="314"/>
      <c r="P2" s="314"/>
      <c r="Q2" s="315"/>
      <c r="R2" s="313"/>
      <c r="S2" s="314"/>
      <c r="T2" s="314"/>
      <c r="U2" s="314"/>
      <c r="V2" s="314"/>
      <c r="W2" s="315"/>
      <c r="X2" s="374"/>
      <c r="Y2" s="375"/>
      <c r="AA2" s="313"/>
      <c r="AB2" s="314"/>
      <c r="AC2" s="314"/>
      <c r="AD2" s="314"/>
      <c r="AE2" s="314"/>
      <c r="AF2" s="315"/>
      <c r="AG2" s="371"/>
      <c r="AH2" s="313"/>
      <c r="AI2" s="314"/>
      <c r="AJ2" s="314"/>
      <c r="AK2" s="314"/>
      <c r="AL2" s="314"/>
      <c r="AM2" s="315"/>
      <c r="AN2" s="313"/>
      <c r="AO2" s="314"/>
      <c r="AP2" s="314"/>
      <c r="AQ2" s="314"/>
      <c r="AR2" s="314"/>
      <c r="AS2" s="315"/>
      <c r="AT2" s="374"/>
      <c r="AU2" s="375"/>
    </row>
    <row r="3" spans="1:47" ht="14" customHeight="1" thickBot="1">
      <c r="A3" s="324"/>
      <c r="B3" s="349"/>
      <c r="C3" s="30" t="s">
        <v>0</v>
      </c>
      <c r="D3" s="56"/>
      <c r="E3" s="392" t="s">
        <v>181</v>
      </c>
      <c r="F3" s="385" t="s">
        <v>1</v>
      </c>
      <c r="G3" s="386"/>
      <c r="H3" s="387" t="s">
        <v>134</v>
      </c>
      <c r="I3" s="387" t="s">
        <v>183</v>
      </c>
      <c r="J3" s="332" t="s">
        <v>135</v>
      </c>
      <c r="K3" s="382" t="s">
        <v>149</v>
      </c>
      <c r="L3" s="337" t="s">
        <v>181</v>
      </c>
      <c r="M3" s="340" t="s">
        <v>1</v>
      </c>
      <c r="N3" s="341"/>
      <c r="O3" s="329" t="s">
        <v>134</v>
      </c>
      <c r="P3" s="329" t="s">
        <v>183</v>
      </c>
      <c r="Q3" s="332" t="s">
        <v>135</v>
      </c>
      <c r="R3" s="337" t="s">
        <v>181</v>
      </c>
      <c r="S3" s="340" t="s">
        <v>1</v>
      </c>
      <c r="T3" s="341"/>
      <c r="U3" s="329" t="s">
        <v>134</v>
      </c>
      <c r="V3" s="329" t="s">
        <v>183</v>
      </c>
      <c r="W3" s="332" t="s">
        <v>135</v>
      </c>
      <c r="X3" s="376" t="s">
        <v>150</v>
      </c>
      <c r="Y3" s="379" t="s">
        <v>151</v>
      </c>
      <c r="AA3" s="392" t="s">
        <v>181</v>
      </c>
      <c r="AB3" s="385" t="s">
        <v>1</v>
      </c>
      <c r="AC3" s="386"/>
      <c r="AD3" s="387" t="s">
        <v>134</v>
      </c>
      <c r="AE3" s="387" t="s">
        <v>183</v>
      </c>
      <c r="AF3" s="332" t="s">
        <v>135</v>
      </c>
      <c r="AG3" s="382" t="s">
        <v>149</v>
      </c>
      <c r="AH3" s="337" t="s">
        <v>181</v>
      </c>
      <c r="AI3" s="340" t="s">
        <v>1</v>
      </c>
      <c r="AJ3" s="341"/>
      <c r="AK3" s="329" t="s">
        <v>134</v>
      </c>
      <c r="AL3" s="329" t="s">
        <v>183</v>
      </c>
      <c r="AM3" s="332" t="s">
        <v>135</v>
      </c>
      <c r="AN3" s="337" t="s">
        <v>181</v>
      </c>
      <c r="AO3" s="340" t="s">
        <v>1</v>
      </c>
      <c r="AP3" s="341"/>
      <c r="AQ3" s="329" t="s">
        <v>134</v>
      </c>
      <c r="AR3" s="329" t="s">
        <v>183</v>
      </c>
      <c r="AS3" s="332" t="s">
        <v>135</v>
      </c>
      <c r="AT3" s="376" t="s">
        <v>150</v>
      </c>
      <c r="AU3" s="379" t="s">
        <v>151</v>
      </c>
    </row>
    <row r="4" spans="1:47" ht="12.75" customHeight="1">
      <c r="A4" s="324"/>
      <c r="B4" s="349"/>
      <c r="C4" s="31" t="s">
        <v>2</v>
      </c>
      <c r="D4" s="57"/>
      <c r="E4" s="393"/>
      <c r="F4" s="390" t="s">
        <v>182</v>
      </c>
      <c r="G4" s="387" t="s">
        <v>133</v>
      </c>
      <c r="H4" s="388"/>
      <c r="I4" s="388"/>
      <c r="J4" s="333"/>
      <c r="K4" s="383"/>
      <c r="L4" s="338"/>
      <c r="M4" s="335" t="s">
        <v>182</v>
      </c>
      <c r="N4" s="329" t="s">
        <v>133</v>
      </c>
      <c r="O4" s="330"/>
      <c r="P4" s="330"/>
      <c r="Q4" s="333"/>
      <c r="R4" s="338"/>
      <c r="S4" s="335" t="s">
        <v>182</v>
      </c>
      <c r="T4" s="329" t="s">
        <v>133</v>
      </c>
      <c r="U4" s="330"/>
      <c r="V4" s="330"/>
      <c r="W4" s="333"/>
      <c r="X4" s="377"/>
      <c r="Y4" s="380"/>
      <c r="AA4" s="393"/>
      <c r="AB4" s="390" t="s">
        <v>182</v>
      </c>
      <c r="AC4" s="387" t="s">
        <v>133</v>
      </c>
      <c r="AD4" s="388"/>
      <c r="AE4" s="388"/>
      <c r="AF4" s="333"/>
      <c r="AG4" s="383"/>
      <c r="AH4" s="338"/>
      <c r="AI4" s="335" t="s">
        <v>182</v>
      </c>
      <c r="AJ4" s="329" t="s">
        <v>133</v>
      </c>
      <c r="AK4" s="330"/>
      <c r="AL4" s="330"/>
      <c r="AM4" s="333"/>
      <c r="AN4" s="338"/>
      <c r="AO4" s="335" t="s">
        <v>182</v>
      </c>
      <c r="AP4" s="329" t="s">
        <v>133</v>
      </c>
      <c r="AQ4" s="330"/>
      <c r="AR4" s="330"/>
      <c r="AS4" s="333"/>
      <c r="AT4" s="377"/>
      <c r="AU4" s="380"/>
    </row>
    <row r="5" spans="1:47" ht="17.25" customHeight="1" thickBot="1">
      <c r="A5" s="325"/>
      <c r="B5" s="350"/>
      <c r="C5" s="32"/>
      <c r="D5" s="56"/>
      <c r="E5" s="394"/>
      <c r="F5" s="391"/>
      <c r="G5" s="389"/>
      <c r="H5" s="389"/>
      <c r="I5" s="389"/>
      <c r="J5" s="334"/>
      <c r="K5" s="384"/>
      <c r="L5" s="339"/>
      <c r="M5" s="336"/>
      <c r="N5" s="331"/>
      <c r="O5" s="331"/>
      <c r="P5" s="331"/>
      <c r="Q5" s="334"/>
      <c r="R5" s="339"/>
      <c r="S5" s="336"/>
      <c r="T5" s="331"/>
      <c r="U5" s="331"/>
      <c r="V5" s="331"/>
      <c r="W5" s="334"/>
      <c r="X5" s="378"/>
      <c r="Y5" s="381"/>
      <c r="AA5" s="394"/>
      <c r="AB5" s="391"/>
      <c r="AC5" s="389"/>
      <c r="AD5" s="389"/>
      <c r="AE5" s="389"/>
      <c r="AF5" s="334"/>
      <c r="AG5" s="384"/>
      <c r="AH5" s="339"/>
      <c r="AI5" s="336"/>
      <c r="AJ5" s="331"/>
      <c r="AK5" s="331"/>
      <c r="AL5" s="331"/>
      <c r="AM5" s="334"/>
      <c r="AN5" s="339"/>
      <c r="AO5" s="336"/>
      <c r="AP5" s="331"/>
      <c r="AQ5" s="331"/>
      <c r="AR5" s="331"/>
      <c r="AS5" s="334"/>
      <c r="AT5" s="378"/>
      <c r="AU5" s="381"/>
    </row>
    <row r="6" spans="1:47" ht="18" customHeight="1" thickTop="1">
      <c r="A6" s="65">
        <v>301</v>
      </c>
      <c r="B6" s="68" t="s">
        <v>3</v>
      </c>
      <c r="C6" s="33" t="s">
        <v>4</v>
      </c>
      <c r="D6" s="41"/>
      <c r="E6" s="75">
        <v>0</v>
      </c>
      <c r="F6" s="76">
        <v>0</v>
      </c>
      <c r="G6" s="76">
        <v>0</v>
      </c>
      <c r="H6" s="76">
        <v>0</v>
      </c>
      <c r="I6" s="76">
        <v>0</v>
      </c>
      <c r="J6" s="77">
        <f t="shared" ref="J6:J48" si="0">RANK(I6,I$6:I$48,0)</f>
        <v>12</v>
      </c>
      <c r="K6" s="432"/>
      <c r="L6" s="75">
        <v>0</v>
      </c>
      <c r="M6" s="76">
        <v>0</v>
      </c>
      <c r="N6" s="76">
        <v>0</v>
      </c>
      <c r="O6" s="76">
        <v>0</v>
      </c>
      <c r="P6" s="76">
        <v>0</v>
      </c>
      <c r="Q6" s="77">
        <f t="shared" ref="Q6:Q48" si="1">RANK(P6,P$6:P$48,0)</f>
        <v>12</v>
      </c>
      <c r="R6" s="75">
        <v>0</v>
      </c>
      <c r="S6" s="76">
        <v>0</v>
      </c>
      <c r="T6" s="76">
        <v>0</v>
      </c>
      <c r="U6" s="76">
        <v>0</v>
      </c>
      <c r="V6" s="76">
        <v>0</v>
      </c>
      <c r="W6" s="77">
        <f t="shared" ref="W6:W48" si="2">RANK(V6,V$6:V$48,0)</f>
        <v>12</v>
      </c>
      <c r="X6" s="37"/>
      <c r="Y6" s="38"/>
      <c r="AA6" s="75">
        <v>0</v>
      </c>
      <c r="AB6" s="76">
        <v>0</v>
      </c>
      <c r="AC6" s="76">
        <v>0</v>
      </c>
      <c r="AD6" s="76">
        <v>0</v>
      </c>
      <c r="AE6" s="76">
        <v>0</v>
      </c>
      <c r="AF6" s="77">
        <f t="shared" ref="AF6:AF48" si="3">RANK(AE6,AE$6:AE$48,0)</f>
        <v>12</v>
      </c>
      <c r="AG6" s="432"/>
      <c r="AH6" s="75">
        <v>0</v>
      </c>
      <c r="AI6" s="76">
        <v>0</v>
      </c>
      <c r="AJ6" s="76">
        <v>0</v>
      </c>
      <c r="AK6" s="76">
        <v>0</v>
      </c>
      <c r="AL6" s="76">
        <v>0</v>
      </c>
      <c r="AM6" s="77">
        <f t="shared" ref="AM6:AM48" si="4">RANK(AL6,AL$6:AL$48,0)</f>
        <v>12</v>
      </c>
      <c r="AN6" s="75">
        <v>0</v>
      </c>
      <c r="AO6" s="76">
        <v>0</v>
      </c>
      <c r="AP6" s="76">
        <v>0</v>
      </c>
      <c r="AQ6" s="76">
        <v>0</v>
      </c>
      <c r="AR6" s="76">
        <v>0</v>
      </c>
      <c r="AS6" s="77">
        <f t="shared" ref="AS6:AS48" si="5">RANK(AR6,AR$6:AR$48,0)</f>
        <v>12</v>
      </c>
      <c r="AT6" s="37"/>
      <c r="AU6" s="38"/>
    </row>
    <row r="7" spans="1:47" ht="18" customHeight="1">
      <c r="A7" s="65">
        <v>302</v>
      </c>
      <c r="B7" s="68" t="s">
        <v>5</v>
      </c>
      <c r="C7" s="33" t="s">
        <v>6</v>
      </c>
      <c r="D7" s="41"/>
      <c r="E7" s="75">
        <v>0</v>
      </c>
      <c r="F7" s="76">
        <v>0</v>
      </c>
      <c r="G7" s="76">
        <v>0</v>
      </c>
      <c r="H7" s="76">
        <v>0</v>
      </c>
      <c r="I7" s="76">
        <v>0</v>
      </c>
      <c r="J7" s="77">
        <f t="shared" si="0"/>
        <v>12</v>
      </c>
      <c r="K7" s="432"/>
      <c r="L7" s="24">
        <v>0</v>
      </c>
      <c r="M7" s="14">
        <v>0</v>
      </c>
      <c r="N7" s="14">
        <v>0</v>
      </c>
      <c r="O7" s="14">
        <v>0</v>
      </c>
      <c r="P7" s="14">
        <v>0</v>
      </c>
      <c r="Q7" s="77">
        <f t="shared" si="1"/>
        <v>12</v>
      </c>
      <c r="R7" s="24">
        <v>0</v>
      </c>
      <c r="S7" s="14">
        <v>0</v>
      </c>
      <c r="T7" s="14">
        <v>0</v>
      </c>
      <c r="U7" s="14">
        <v>0</v>
      </c>
      <c r="V7" s="14">
        <v>0</v>
      </c>
      <c r="W7" s="77">
        <f t="shared" si="2"/>
        <v>12</v>
      </c>
      <c r="X7" s="37"/>
      <c r="Y7" s="38"/>
      <c r="AA7" s="75">
        <v>0</v>
      </c>
      <c r="AB7" s="76">
        <v>0</v>
      </c>
      <c r="AC7" s="76">
        <v>0</v>
      </c>
      <c r="AD7" s="76">
        <v>0</v>
      </c>
      <c r="AE7" s="76">
        <v>0</v>
      </c>
      <c r="AF7" s="77">
        <f t="shared" si="3"/>
        <v>12</v>
      </c>
      <c r="AG7" s="432"/>
      <c r="AH7" s="24">
        <v>0</v>
      </c>
      <c r="AI7" s="14">
        <v>0</v>
      </c>
      <c r="AJ7" s="14">
        <v>0</v>
      </c>
      <c r="AK7" s="14">
        <v>0</v>
      </c>
      <c r="AL7" s="14">
        <v>0</v>
      </c>
      <c r="AM7" s="77">
        <f t="shared" si="4"/>
        <v>12</v>
      </c>
      <c r="AN7" s="24">
        <v>0</v>
      </c>
      <c r="AO7" s="14">
        <v>0</v>
      </c>
      <c r="AP7" s="14">
        <v>0</v>
      </c>
      <c r="AQ7" s="14">
        <v>0</v>
      </c>
      <c r="AR7" s="14">
        <v>0</v>
      </c>
      <c r="AS7" s="77">
        <f t="shared" si="5"/>
        <v>12</v>
      </c>
      <c r="AT7" s="37"/>
      <c r="AU7" s="38"/>
    </row>
    <row r="8" spans="1:47" ht="18" customHeight="1">
      <c r="A8" s="65">
        <v>303</v>
      </c>
      <c r="B8" s="68" t="s">
        <v>7</v>
      </c>
      <c r="C8" s="33" t="s">
        <v>8</v>
      </c>
      <c r="D8" s="41"/>
      <c r="E8" s="75">
        <v>0</v>
      </c>
      <c r="F8" s="76">
        <v>0</v>
      </c>
      <c r="G8" s="76">
        <v>0</v>
      </c>
      <c r="H8" s="76">
        <v>0</v>
      </c>
      <c r="I8" s="76">
        <v>0</v>
      </c>
      <c r="J8" s="77">
        <f t="shared" si="0"/>
        <v>12</v>
      </c>
      <c r="K8" s="432"/>
      <c r="L8" s="24">
        <v>0</v>
      </c>
      <c r="M8" s="14">
        <v>0</v>
      </c>
      <c r="N8" s="14">
        <v>0</v>
      </c>
      <c r="O8" s="14">
        <v>0</v>
      </c>
      <c r="P8" s="14">
        <v>0</v>
      </c>
      <c r="Q8" s="77">
        <f t="shared" si="1"/>
        <v>12</v>
      </c>
      <c r="R8" s="24">
        <v>0</v>
      </c>
      <c r="S8" s="14">
        <v>0</v>
      </c>
      <c r="T8" s="14">
        <v>0</v>
      </c>
      <c r="U8" s="14">
        <v>0</v>
      </c>
      <c r="V8" s="14">
        <v>0</v>
      </c>
      <c r="W8" s="77">
        <f t="shared" si="2"/>
        <v>12</v>
      </c>
      <c r="X8" s="37"/>
      <c r="Y8" s="38"/>
      <c r="AA8" s="75">
        <v>0</v>
      </c>
      <c r="AB8" s="76">
        <v>0</v>
      </c>
      <c r="AC8" s="76">
        <v>0</v>
      </c>
      <c r="AD8" s="76">
        <v>0</v>
      </c>
      <c r="AE8" s="76">
        <v>0</v>
      </c>
      <c r="AF8" s="77">
        <f t="shared" si="3"/>
        <v>12</v>
      </c>
      <c r="AG8" s="432"/>
      <c r="AH8" s="24">
        <v>0</v>
      </c>
      <c r="AI8" s="14">
        <v>0</v>
      </c>
      <c r="AJ8" s="14">
        <v>0</v>
      </c>
      <c r="AK8" s="14">
        <v>0</v>
      </c>
      <c r="AL8" s="14">
        <v>0</v>
      </c>
      <c r="AM8" s="77">
        <f t="shared" si="4"/>
        <v>12</v>
      </c>
      <c r="AN8" s="24">
        <v>0</v>
      </c>
      <c r="AO8" s="14">
        <v>0</v>
      </c>
      <c r="AP8" s="14">
        <v>0</v>
      </c>
      <c r="AQ8" s="14">
        <v>0</v>
      </c>
      <c r="AR8" s="14">
        <v>0</v>
      </c>
      <c r="AS8" s="77">
        <f t="shared" si="5"/>
        <v>12</v>
      </c>
      <c r="AT8" s="37"/>
      <c r="AU8" s="38"/>
    </row>
    <row r="9" spans="1:47" ht="18" customHeight="1">
      <c r="A9" s="65">
        <v>304</v>
      </c>
      <c r="B9" s="68" t="s">
        <v>9</v>
      </c>
      <c r="C9" s="33" t="s">
        <v>10</v>
      </c>
      <c r="D9" s="41"/>
      <c r="E9" s="75">
        <v>0</v>
      </c>
      <c r="F9" s="76">
        <v>0</v>
      </c>
      <c r="G9" s="76">
        <v>0</v>
      </c>
      <c r="H9" s="76">
        <v>0</v>
      </c>
      <c r="I9" s="76">
        <v>0</v>
      </c>
      <c r="J9" s="77">
        <f t="shared" si="0"/>
        <v>12</v>
      </c>
      <c r="K9" s="432"/>
      <c r="L9" s="24">
        <v>0</v>
      </c>
      <c r="M9" s="14">
        <v>0</v>
      </c>
      <c r="N9" s="14">
        <v>0</v>
      </c>
      <c r="O9" s="14">
        <v>0</v>
      </c>
      <c r="P9" s="14">
        <v>0</v>
      </c>
      <c r="Q9" s="77">
        <f t="shared" si="1"/>
        <v>12</v>
      </c>
      <c r="R9" s="24">
        <v>0</v>
      </c>
      <c r="S9" s="14">
        <v>0</v>
      </c>
      <c r="T9" s="14">
        <v>0</v>
      </c>
      <c r="U9" s="14">
        <v>0</v>
      </c>
      <c r="V9" s="14">
        <v>0</v>
      </c>
      <c r="W9" s="77">
        <f t="shared" si="2"/>
        <v>12</v>
      </c>
      <c r="X9" s="37"/>
      <c r="Y9" s="38"/>
      <c r="AA9" s="75">
        <v>0</v>
      </c>
      <c r="AB9" s="76">
        <v>0</v>
      </c>
      <c r="AC9" s="76">
        <v>0</v>
      </c>
      <c r="AD9" s="76">
        <v>0</v>
      </c>
      <c r="AE9" s="76">
        <v>0</v>
      </c>
      <c r="AF9" s="77">
        <f t="shared" si="3"/>
        <v>12</v>
      </c>
      <c r="AG9" s="432"/>
      <c r="AH9" s="24">
        <v>0</v>
      </c>
      <c r="AI9" s="14">
        <v>0</v>
      </c>
      <c r="AJ9" s="14">
        <v>0</v>
      </c>
      <c r="AK9" s="14">
        <v>0</v>
      </c>
      <c r="AL9" s="14">
        <v>0</v>
      </c>
      <c r="AM9" s="77">
        <f t="shared" si="4"/>
        <v>12</v>
      </c>
      <c r="AN9" s="24">
        <v>0</v>
      </c>
      <c r="AO9" s="14">
        <v>0</v>
      </c>
      <c r="AP9" s="14">
        <v>0</v>
      </c>
      <c r="AQ9" s="14">
        <v>0</v>
      </c>
      <c r="AR9" s="14">
        <v>0</v>
      </c>
      <c r="AS9" s="77">
        <f t="shared" si="5"/>
        <v>12</v>
      </c>
      <c r="AT9" s="37"/>
      <c r="AU9" s="38"/>
    </row>
    <row r="10" spans="1:47" ht="18" customHeight="1">
      <c r="A10" s="65">
        <v>306</v>
      </c>
      <c r="B10" s="68" t="s">
        <v>11</v>
      </c>
      <c r="C10" s="33" t="s">
        <v>12</v>
      </c>
      <c r="D10" s="41"/>
      <c r="E10" s="75">
        <v>0</v>
      </c>
      <c r="F10" s="76">
        <v>0</v>
      </c>
      <c r="G10" s="76">
        <v>0</v>
      </c>
      <c r="H10" s="76">
        <v>0</v>
      </c>
      <c r="I10" s="76">
        <v>0</v>
      </c>
      <c r="J10" s="77">
        <f t="shared" si="0"/>
        <v>12</v>
      </c>
      <c r="K10" s="432"/>
      <c r="L10" s="24">
        <v>0</v>
      </c>
      <c r="M10" s="14">
        <v>0</v>
      </c>
      <c r="N10" s="14">
        <v>0</v>
      </c>
      <c r="O10" s="14">
        <v>0</v>
      </c>
      <c r="P10" s="14">
        <v>0</v>
      </c>
      <c r="Q10" s="77">
        <f t="shared" si="1"/>
        <v>12</v>
      </c>
      <c r="R10" s="24">
        <v>0</v>
      </c>
      <c r="S10" s="14">
        <v>0</v>
      </c>
      <c r="T10" s="14">
        <v>0</v>
      </c>
      <c r="U10" s="14">
        <v>0</v>
      </c>
      <c r="V10" s="14">
        <v>0</v>
      </c>
      <c r="W10" s="77">
        <f t="shared" si="2"/>
        <v>12</v>
      </c>
      <c r="X10" s="37"/>
      <c r="Y10" s="38"/>
      <c r="AA10" s="75">
        <v>0</v>
      </c>
      <c r="AB10" s="76">
        <v>0</v>
      </c>
      <c r="AC10" s="76">
        <v>0</v>
      </c>
      <c r="AD10" s="76">
        <v>0</v>
      </c>
      <c r="AE10" s="76">
        <v>0</v>
      </c>
      <c r="AF10" s="77">
        <f t="shared" si="3"/>
        <v>12</v>
      </c>
      <c r="AG10" s="432"/>
      <c r="AH10" s="24">
        <v>0</v>
      </c>
      <c r="AI10" s="14">
        <v>0</v>
      </c>
      <c r="AJ10" s="14">
        <v>0</v>
      </c>
      <c r="AK10" s="14">
        <v>0</v>
      </c>
      <c r="AL10" s="14">
        <v>0</v>
      </c>
      <c r="AM10" s="77">
        <f t="shared" si="4"/>
        <v>12</v>
      </c>
      <c r="AN10" s="24">
        <v>0</v>
      </c>
      <c r="AO10" s="14">
        <v>0</v>
      </c>
      <c r="AP10" s="14">
        <v>0</v>
      </c>
      <c r="AQ10" s="14">
        <v>0</v>
      </c>
      <c r="AR10" s="14">
        <v>0</v>
      </c>
      <c r="AS10" s="77">
        <f t="shared" si="5"/>
        <v>12</v>
      </c>
      <c r="AT10" s="37"/>
      <c r="AU10" s="38"/>
    </row>
    <row r="11" spans="1:47" ht="18" customHeight="1">
      <c r="A11" s="65">
        <v>307</v>
      </c>
      <c r="B11" s="68" t="s">
        <v>13</v>
      </c>
      <c r="C11" s="33" t="s">
        <v>14</v>
      </c>
      <c r="D11" s="41"/>
      <c r="E11" s="75">
        <v>0</v>
      </c>
      <c r="F11" s="76">
        <v>0</v>
      </c>
      <c r="G11" s="76">
        <v>0</v>
      </c>
      <c r="H11" s="76">
        <v>0</v>
      </c>
      <c r="I11" s="76">
        <v>0</v>
      </c>
      <c r="J11" s="77">
        <f t="shared" si="0"/>
        <v>12</v>
      </c>
      <c r="K11" s="432"/>
      <c r="L11" s="24">
        <v>0</v>
      </c>
      <c r="M11" s="14">
        <v>0</v>
      </c>
      <c r="N11" s="14">
        <v>0</v>
      </c>
      <c r="O11" s="14">
        <v>0</v>
      </c>
      <c r="P11" s="14">
        <v>0</v>
      </c>
      <c r="Q11" s="77">
        <f t="shared" si="1"/>
        <v>12</v>
      </c>
      <c r="R11" s="24">
        <v>0</v>
      </c>
      <c r="S11" s="14">
        <v>0</v>
      </c>
      <c r="T11" s="14">
        <v>0</v>
      </c>
      <c r="U11" s="14">
        <v>0</v>
      </c>
      <c r="V11" s="14">
        <v>0</v>
      </c>
      <c r="W11" s="77">
        <f t="shared" si="2"/>
        <v>12</v>
      </c>
      <c r="X11" s="37"/>
      <c r="Y11" s="38"/>
      <c r="AA11" s="75">
        <v>0</v>
      </c>
      <c r="AB11" s="76">
        <v>0</v>
      </c>
      <c r="AC11" s="76">
        <v>0</v>
      </c>
      <c r="AD11" s="76">
        <v>0</v>
      </c>
      <c r="AE11" s="76">
        <v>0</v>
      </c>
      <c r="AF11" s="77">
        <f t="shared" si="3"/>
        <v>12</v>
      </c>
      <c r="AG11" s="432"/>
      <c r="AH11" s="24">
        <v>0</v>
      </c>
      <c r="AI11" s="14">
        <v>0</v>
      </c>
      <c r="AJ11" s="14">
        <v>0</v>
      </c>
      <c r="AK11" s="14">
        <v>0</v>
      </c>
      <c r="AL11" s="14">
        <v>0</v>
      </c>
      <c r="AM11" s="77">
        <f t="shared" si="4"/>
        <v>12</v>
      </c>
      <c r="AN11" s="24">
        <v>0</v>
      </c>
      <c r="AO11" s="14">
        <v>0</v>
      </c>
      <c r="AP11" s="14">
        <v>0</v>
      </c>
      <c r="AQ11" s="14">
        <v>0</v>
      </c>
      <c r="AR11" s="14">
        <v>0</v>
      </c>
      <c r="AS11" s="77">
        <f t="shared" si="5"/>
        <v>12</v>
      </c>
      <c r="AT11" s="37"/>
      <c r="AU11" s="38"/>
    </row>
    <row r="12" spans="1:47" ht="18" customHeight="1">
      <c r="A12" s="65">
        <v>308</v>
      </c>
      <c r="B12" s="68" t="s">
        <v>80</v>
      </c>
      <c r="C12" s="33" t="s">
        <v>81</v>
      </c>
      <c r="D12" s="41"/>
      <c r="E12" s="75">
        <v>0</v>
      </c>
      <c r="F12" s="76">
        <v>0</v>
      </c>
      <c r="G12" s="76">
        <v>0</v>
      </c>
      <c r="H12" s="76">
        <v>0</v>
      </c>
      <c r="I12" s="76">
        <v>0</v>
      </c>
      <c r="J12" s="77">
        <f t="shared" si="0"/>
        <v>12</v>
      </c>
      <c r="K12" s="432"/>
      <c r="L12" s="24">
        <v>0</v>
      </c>
      <c r="M12" s="14">
        <v>0</v>
      </c>
      <c r="N12" s="14">
        <v>0</v>
      </c>
      <c r="O12" s="14">
        <v>0</v>
      </c>
      <c r="P12" s="14">
        <v>0</v>
      </c>
      <c r="Q12" s="77">
        <f t="shared" si="1"/>
        <v>12</v>
      </c>
      <c r="R12" s="24">
        <v>0</v>
      </c>
      <c r="S12" s="14">
        <v>0</v>
      </c>
      <c r="T12" s="14">
        <v>0</v>
      </c>
      <c r="U12" s="14">
        <v>0</v>
      </c>
      <c r="V12" s="14">
        <v>0</v>
      </c>
      <c r="W12" s="77">
        <f t="shared" si="2"/>
        <v>12</v>
      </c>
      <c r="X12" s="37"/>
      <c r="Y12" s="38"/>
      <c r="AA12" s="75">
        <v>0</v>
      </c>
      <c r="AB12" s="76">
        <v>0</v>
      </c>
      <c r="AC12" s="76">
        <v>0</v>
      </c>
      <c r="AD12" s="76">
        <v>0</v>
      </c>
      <c r="AE12" s="76">
        <v>0</v>
      </c>
      <c r="AF12" s="77">
        <f t="shared" si="3"/>
        <v>12</v>
      </c>
      <c r="AG12" s="432"/>
      <c r="AH12" s="24">
        <v>0</v>
      </c>
      <c r="AI12" s="14">
        <v>0</v>
      </c>
      <c r="AJ12" s="14">
        <v>0</v>
      </c>
      <c r="AK12" s="14">
        <v>0</v>
      </c>
      <c r="AL12" s="14">
        <v>0</v>
      </c>
      <c r="AM12" s="77">
        <f t="shared" si="4"/>
        <v>12</v>
      </c>
      <c r="AN12" s="24">
        <v>0</v>
      </c>
      <c r="AO12" s="14">
        <v>0</v>
      </c>
      <c r="AP12" s="14">
        <v>0</v>
      </c>
      <c r="AQ12" s="14">
        <v>0</v>
      </c>
      <c r="AR12" s="14">
        <v>0</v>
      </c>
      <c r="AS12" s="77">
        <f t="shared" si="5"/>
        <v>12</v>
      </c>
      <c r="AT12" s="37"/>
      <c r="AU12" s="38"/>
    </row>
    <row r="13" spans="1:47" ht="18" customHeight="1">
      <c r="A13" s="65">
        <v>309</v>
      </c>
      <c r="B13" s="68" t="s">
        <v>82</v>
      </c>
      <c r="C13" s="33" t="s">
        <v>91</v>
      </c>
      <c r="D13" s="41"/>
      <c r="E13" s="75">
        <v>0</v>
      </c>
      <c r="F13" s="76">
        <v>0</v>
      </c>
      <c r="G13" s="76">
        <v>0</v>
      </c>
      <c r="H13" s="76">
        <v>0</v>
      </c>
      <c r="I13" s="76">
        <v>0</v>
      </c>
      <c r="J13" s="77">
        <f t="shared" si="0"/>
        <v>12</v>
      </c>
      <c r="K13" s="432"/>
      <c r="L13" s="24">
        <v>0</v>
      </c>
      <c r="M13" s="14">
        <v>0</v>
      </c>
      <c r="N13" s="14">
        <v>0</v>
      </c>
      <c r="O13" s="14">
        <v>0</v>
      </c>
      <c r="P13" s="14">
        <v>0</v>
      </c>
      <c r="Q13" s="77">
        <f t="shared" si="1"/>
        <v>12</v>
      </c>
      <c r="R13" s="24">
        <v>0</v>
      </c>
      <c r="S13" s="14">
        <v>0</v>
      </c>
      <c r="T13" s="14">
        <v>0</v>
      </c>
      <c r="U13" s="14">
        <v>0</v>
      </c>
      <c r="V13" s="14">
        <v>0</v>
      </c>
      <c r="W13" s="77">
        <f t="shared" si="2"/>
        <v>12</v>
      </c>
      <c r="X13" s="37"/>
      <c r="Y13" s="38"/>
      <c r="AA13" s="75">
        <v>0</v>
      </c>
      <c r="AB13" s="76">
        <v>0</v>
      </c>
      <c r="AC13" s="76">
        <v>0</v>
      </c>
      <c r="AD13" s="76">
        <v>0</v>
      </c>
      <c r="AE13" s="76">
        <v>0</v>
      </c>
      <c r="AF13" s="77">
        <f t="shared" si="3"/>
        <v>12</v>
      </c>
      <c r="AG13" s="432"/>
      <c r="AH13" s="24">
        <v>0</v>
      </c>
      <c r="AI13" s="14">
        <v>0</v>
      </c>
      <c r="AJ13" s="14">
        <v>0</v>
      </c>
      <c r="AK13" s="14">
        <v>0</v>
      </c>
      <c r="AL13" s="14">
        <v>0</v>
      </c>
      <c r="AM13" s="77">
        <f t="shared" si="4"/>
        <v>12</v>
      </c>
      <c r="AN13" s="24">
        <v>0</v>
      </c>
      <c r="AO13" s="14">
        <v>0</v>
      </c>
      <c r="AP13" s="14">
        <v>0</v>
      </c>
      <c r="AQ13" s="14">
        <v>0</v>
      </c>
      <c r="AR13" s="14">
        <v>0</v>
      </c>
      <c r="AS13" s="77">
        <f t="shared" si="5"/>
        <v>12</v>
      </c>
      <c r="AT13" s="37"/>
      <c r="AU13" s="38"/>
    </row>
    <row r="14" spans="1:47" ht="18" customHeight="1">
      <c r="A14" s="65">
        <v>312</v>
      </c>
      <c r="B14" s="68" t="s">
        <v>15</v>
      </c>
      <c r="C14" s="33" t="s">
        <v>16</v>
      </c>
      <c r="D14" s="41"/>
      <c r="E14" s="75">
        <v>7767944633</v>
      </c>
      <c r="F14" s="76">
        <v>15986953</v>
      </c>
      <c r="G14" s="76">
        <v>7751957680</v>
      </c>
      <c r="H14" s="76">
        <v>14677</v>
      </c>
      <c r="I14" s="76">
        <v>44014</v>
      </c>
      <c r="J14" s="77">
        <f t="shared" si="0"/>
        <v>3</v>
      </c>
      <c r="K14" s="432"/>
      <c r="L14" s="24">
        <v>7773380803</v>
      </c>
      <c r="M14" s="14">
        <v>15986953</v>
      </c>
      <c r="N14" s="14">
        <v>7757393850</v>
      </c>
      <c r="O14" s="14">
        <v>14688</v>
      </c>
      <c r="P14" s="14">
        <v>44012</v>
      </c>
      <c r="Q14" s="77">
        <f t="shared" si="1"/>
        <v>4</v>
      </c>
      <c r="R14" s="24">
        <v>7649885533.21</v>
      </c>
      <c r="S14" s="14">
        <v>42514733</v>
      </c>
      <c r="T14" s="14">
        <v>7607370800.21</v>
      </c>
      <c r="U14" s="14">
        <v>13673.32</v>
      </c>
      <c r="V14" s="14">
        <v>46364</v>
      </c>
      <c r="W14" s="77">
        <f t="shared" si="2"/>
        <v>3</v>
      </c>
      <c r="X14" s="37"/>
      <c r="Y14" s="38"/>
      <c r="AA14" s="75">
        <v>8163988234</v>
      </c>
      <c r="AB14" s="76">
        <v>15986953</v>
      </c>
      <c r="AC14" s="76">
        <v>8148001281</v>
      </c>
      <c r="AD14" s="76">
        <v>14691</v>
      </c>
      <c r="AE14" s="76">
        <v>46219</v>
      </c>
      <c r="AF14" s="77">
        <f t="shared" si="3"/>
        <v>3</v>
      </c>
      <c r="AG14" s="432"/>
      <c r="AH14" s="24">
        <v>7954761024</v>
      </c>
      <c r="AI14" s="14">
        <v>15486953</v>
      </c>
      <c r="AJ14" s="14">
        <v>7939274071</v>
      </c>
      <c r="AK14" s="14">
        <v>14691</v>
      </c>
      <c r="AL14" s="14">
        <v>45035</v>
      </c>
      <c r="AM14" s="77">
        <f t="shared" si="4"/>
        <v>5</v>
      </c>
      <c r="AN14" s="24">
        <v>7948655688.0500002</v>
      </c>
      <c r="AO14" s="14">
        <v>9567513</v>
      </c>
      <c r="AP14" s="14">
        <v>7939088175.0500002</v>
      </c>
      <c r="AQ14" s="14">
        <v>13645.699999999999</v>
      </c>
      <c r="AR14" s="14">
        <v>48483</v>
      </c>
      <c r="AS14" s="77">
        <f t="shared" si="5"/>
        <v>4</v>
      </c>
      <c r="AT14" s="37"/>
      <c r="AU14" s="38"/>
    </row>
    <row r="15" spans="1:47" ht="18" customHeight="1">
      <c r="A15" s="65">
        <v>313</v>
      </c>
      <c r="B15" s="68" t="s">
        <v>17</v>
      </c>
      <c r="C15" s="33" t="s">
        <v>18</v>
      </c>
      <c r="D15" s="41"/>
      <c r="E15" s="75">
        <v>8163073557</v>
      </c>
      <c r="F15" s="76">
        <v>24306754</v>
      </c>
      <c r="G15" s="76">
        <v>8138766803</v>
      </c>
      <c r="H15" s="76">
        <v>20451.450000000004</v>
      </c>
      <c r="I15" s="76">
        <v>33163</v>
      </c>
      <c r="J15" s="77">
        <f t="shared" si="0"/>
        <v>10</v>
      </c>
      <c r="K15" s="432"/>
      <c r="L15" s="24">
        <v>9401460752</v>
      </c>
      <c r="M15" s="14">
        <v>196518354</v>
      </c>
      <c r="N15" s="14">
        <v>9204942398</v>
      </c>
      <c r="O15" s="14">
        <v>19616.32</v>
      </c>
      <c r="P15" s="14">
        <v>39104</v>
      </c>
      <c r="Q15" s="77">
        <f t="shared" si="1"/>
        <v>7</v>
      </c>
      <c r="R15" s="24">
        <v>9380669197</v>
      </c>
      <c r="S15" s="14">
        <v>182412135</v>
      </c>
      <c r="T15" s="14">
        <v>9198257062</v>
      </c>
      <c r="U15" s="14">
        <v>18878.280000000002</v>
      </c>
      <c r="V15" s="14">
        <v>40603</v>
      </c>
      <c r="W15" s="77">
        <f t="shared" si="2"/>
        <v>8</v>
      </c>
      <c r="X15" s="37"/>
      <c r="Y15" s="38"/>
      <c r="AA15" s="75">
        <v>8698460305</v>
      </c>
      <c r="AB15" s="76">
        <v>44306754</v>
      </c>
      <c r="AC15" s="76">
        <v>8654153551</v>
      </c>
      <c r="AD15" s="76">
        <v>19820.400000000001</v>
      </c>
      <c r="AE15" s="76">
        <v>36386</v>
      </c>
      <c r="AF15" s="77">
        <f t="shared" si="3"/>
        <v>10</v>
      </c>
      <c r="AG15" s="432"/>
      <c r="AH15" s="24">
        <v>9500718337</v>
      </c>
      <c r="AI15" s="14">
        <v>57846315</v>
      </c>
      <c r="AJ15" s="14">
        <v>9442872022</v>
      </c>
      <c r="AK15" s="14">
        <v>19422.64</v>
      </c>
      <c r="AL15" s="14">
        <v>40515</v>
      </c>
      <c r="AM15" s="77">
        <f t="shared" si="4"/>
        <v>9</v>
      </c>
      <c r="AN15" s="24">
        <v>9378939383.7299995</v>
      </c>
      <c r="AO15" s="14">
        <v>57618305</v>
      </c>
      <c r="AP15" s="14">
        <v>9321321078.7299995</v>
      </c>
      <c r="AQ15" s="14">
        <v>18282.39</v>
      </c>
      <c r="AR15" s="14">
        <v>42488</v>
      </c>
      <c r="AS15" s="77">
        <f t="shared" si="5"/>
        <v>9</v>
      </c>
      <c r="AT15" s="37"/>
      <c r="AU15" s="38"/>
    </row>
    <row r="16" spans="1:47" ht="18" customHeight="1">
      <c r="A16" s="65">
        <v>314</v>
      </c>
      <c r="B16" s="68" t="s">
        <v>19</v>
      </c>
      <c r="C16" s="33" t="s">
        <v>20</v>
      </c>
      <c r="D16" s="41"/>
      <c r="E16" s="75">
        <v>491033390</v>
      </c>
      <c r="F16" s="76">
        <v>11287959</v>
      </c>
      <c r="G16" s="76">
        <v>479745431</v>
      </c>
      <c r="H16" s="76">
        <v>1088</v>
      </c>
      <c r="I16" s="76">
        <v>36745</v>
      </c>
      <c r="J16" s="77">
        <f t="shared" si="0"/>
        <v>8</v>
      </c>
      <c r="K16" s="432"/>
      <c r="L16" s="24">
        <v>504976157</v>
      </c>
      <c r="M16" s="14">
        <v>21184726</v>
      </c>
      <c r="N16" s="14">
        <v>483791431</v>
      </c>
      <c r="O16" s="14">
        <v>1089.75</v>
      </c>
      <c r="P16" s="14">
        <v>36996</v>
      </c>
      <c r="Q16" s="77">
        <f t="shared" si="1"/>
        <v>9</v>
      </c>
      <c r="R16" s="24">
        <v>502846250.54000002</v>
      </c>
      <c r="S16" s="14">
        <v>21616470</v>
      </c>
      <c r="T16" s="14">
        <v>481229780.54000002</v>
      </c>
      <c r="U16" s="14">
        <v>1043.6600000000001</v>
      </c>
      <c r="V16" s="14">
        <v>38425</v>
      </c>
      <c r="W16" s="77">
        <f t="shared" si="2"/>
        <v>9</v>
      </c>
      <c r="X16" s="37"/>
      <c r="Y16" s="38"/>
      <c r="AA16" s="75">
        <v>526934243</v>
      </c>
      <c r="AB16" s="76">
        <v>10918379</v>
      </c>
      <c r="AC16" s="76">
        <v>516015864</v>
      </c>
      <c r="AD16" s="76">
        <v>1090.8699999999999</v>
      </c>
      <c r="AE16" s="76">
        <v>39419</v>
      </c>
      <c r="AF16" s="77">
        <f t="shared" si="3"/>
        <v>9</v>
      </c>
      <c r="AG16" s="432"/>
      <c r="AH16" s="24">
        <v>533791767</v>
      </c>
      <c r="AI16" s="14">
        <v>19693733</v>
      </c>
      <c r="AJ16" s="14">
        <v>514098034</v>
      </c>
      <c r="AK16" s="14">
        <v>1090.47</v>
      </c>
      <c r="AL16" s="14">
        <v>39287</v>
      </c>
      <c r="AM16" s="77">
        <f t="shared" si="4"/>
        <v>10</v>
      </c>
      <c r="AN16" s="24">
        <v>533689203.07999998</v>
      </c>
      <c r="AO16" s="14">
        <v>20220530.000000004</v>
      </c>
      <c r="AP16" s="14">
        <v>513468673.07999998</v>
      </c>
      <c r="AQ16" s="14">
        <v>1039.5100000000002</v>
      </c>
      <c r="AR16" s="14">
        <v>41163</v>
      </c>
      <c r="AS16" s="77">
        <f t="shared" si="5"/>
        <v>10</v>
      </c>
      <c r="AT16" s="37"/>
      <c r="AU16" s="38"/>
    </row>
    <row r="17" spans="1:47" ht="18" customHeight="1">
      <c r="A17" s="65">
        <v>315</v>
      </c>
      <c r="B17" s="68" t="s">
        <v>21</v>
      </c>
      <c r="C17" s="33" t="s">
        <v>22</v>
      </c>
      <c r="D17" s="41"/>
      <c r="E17" s="75">
        <v>677318900</v>
      </c>
      <c r="F17" s="76">
        <v>29069391</v>
      </c>
      <c r="G17" s="76">
        <v>648249509</v>
      </c>
      <c r="H17" s="76">
        <v>1274.3000000000002</v>
      </c>
      <c r="I17" s="76">
        <v>42393</v>
      </c>
      <c r="J17" s="77">
        <f t="shared" si="0"/>
        <v>4</v>
      </c>
      <c r="K17" s="432"/>
      <c r="L17" s="24">
        <v>728116978</v>
      </c>
      <c r="M17" s="14">
        <v>36350661</v>
      </c>
      <c r="N17" s="14">
        <v>691766317</v>
      </c>
      <c r="O17" s="14">
        <v>1303.78</v>
      </c>
      <c r="P17" s="14">
        <v>44215</v>
      </c>
      <c r="Q17" s="77">
        <f t="shared" si="1"/>
        <v>3</v>
      </c>
      <c r="R17" s="24">
        <v>670857252</v>
      </c>
      <c r="S17" s="14">
        <v>27896622</v>
      </c>
      <c r="T17" s="14">
        <v>642960630</v>
      </c>
      <c r="U17" s="14">
        <v>1219.2800000000002</v>
      </c>
      <c r="V17" s="14">
        <v>43944</v>
      </c>
      <c r="W17" s="77">
        <f t="shared" si="2"/>
        <v>6</v>
      </c>
      <c r="X17" s="37"/>
      <c r="Y17" s="38"/>
      <c r="AA17" s="75">
        <v>756060548</v>
      </c>
      <c r="AB17" s="76">
        <v>28661804</v>
      </c>
      <c r="AC17" s="76">
        <v>727398744</v>
      </c>
      <c r="AD17" s="76">
        <v>1319.14</v>
      </c>
      <c r="AE17" s="76">
        <v>45952</v>
      </c>
      <c r="AF17" s="77">
        <f t="shared" si="3"/>
        <v>4</v>
      </c>
      <c r="AG17" s="432"/>
      <c r="AH17" s="24">
        <v>757203580</v>
      </c>
      <c r="AI17" s="14">
        <v>31630033</v>
      </c>
      <c r="AJ17" s="14">
        <v>725573547</v>
      </c>
      <c r="AK17" s="14">
        <v>1341.6599999999999</v>
      </c>
      <c r="AL17" s="14">
        <v>45067</v>
      </c>
      <c r="AM17" s="77">
        <f t="shared" si="4"/>
        <v>4</v>
      </c>
      <c r="AN17" s="24">
        <v>753101506</v>
      </c>
      <c r="AO17" s="14">
        <v>37219272</v>
      </c>
      <c r="AP17" s="14">
        <v>715882234</v>
      </c>
      <c r="AQ17" s="14">
        <v>1269.9099999999999</v>
      </c>
      <c r="AR17" s="14">
        <v>46977</v>
      </c>
      <c r="AS17" s="77">
        <f t="shared" si="5"/>
        <v>5</v>
      </c>
      <c r="AT17" s="37"/>
      <c r="AU17" s="38"/>
    </row>
    <row r="18" spans="1:47" ht="18" customHeight="1">
      <c r="A18" s="65">
        <v>317</v>
      </c>
      <c r="B18" s="68" t="s">
        <v>23</v>
      </c>
      <c r="C18" s="33" t="s">
        <v>24</v>
      </c>
      <c r="D18" s="41"/>
      <c r="E18" s="75">
        <v>0</v>
      </c>
      <c r="F18" s="76">
        <v>0</v>
      </c>
      <c r="G18" s="76">
        <v>0</v>
      </c>
      <c r="H18" s="76">
        <v>0</v>
      </c>
      <c r="I18" s="76">
        <v>0</v>
      </c>
      <c r="J18" s="77">
        <f t="shared" si="0"/>
        <v>12</v>
      </c>
      <c r="K18" s="432"/>
      <c r="L18" s="24">
        <v>0</v>
      </c>
      <c r="M18" s="14">
        <v>0</v>
      </c>
      <c r="N18" s="14">
        <v>0</v>
      </c>
      <c r="O18" s="14">
        <v>0</v>
      </c>
      <c r="P18" s="14">
        <v>0</v>
      </c>
      <c r="Q18" s="77">
        <f t="shared" si="1"/>
        <v>12</v>
      </c>
      <c r="R18" s="24">
        <v>0</v>
      </c>
      <c r="S18" s="14">
        <v>0</v>
      </c>
      <c r="T18" s="14">
        <v>0</v>
      </c>
      <c r="U18" s="14">
        <v>0</v>
      </c>
      <c r="V18" s="14">
        <v>0</v>
      </c>
      <c r="W18" s="77">
        <f t="shared" si="2"/>
        <v>12</v>
      </c>
      <c r="X18" s="37"/>
      <c r="Y18" s="38"/>
      <c r="AA18" s="75">
        <v>0</v>
      </c>
      <c r="AB18" s="76">
        <v>0</v>
      </c>
      <c r="AC18" s="76">
        <v>0</v>
      </c>
      <c r="AD18" s="76">
        <v>0</v>
      </c>
      <c r="AE18" s="76">
        <v>0</v>
      </c>
      <c r="AF18" s="77">
        <f t="shared" si="3"/>
        <v>12</v>
      </c>
      <c r="AG18" s="432"/>
      <c r="AH18" s="24">
        <v>0</v>
      </c>
      <c r="AI18" s="14">
        <v>0</v>
      </c>
      <c r="AJ18" s="14">
        <v>0</v>
      </c>
      <c r="AK18" s="14">
        <v>0</v>
      </c>
      <c r="AL18" s="14">
        <v>0</v>
      </c>
      <c r="AM18" s="77">
        <f t="shared" si="4"/>
        <v>12</v>
      </c>
      <c r="AN18" s="24">
        <v>0</v>
      </c>
      <c r="AO18" s="14">
        <v>0</v>
      </c>
      <c r="AP18" s="14">
        <v>0</v>
      </c>
      <c r="AQ18" s="14">
        <v>0</v>
      </c>
      <c r="AR18" s="14">
        <v>0</v>
      </c>
      <c r="AS18" s="77">
        <f t="shared" si="5"/>
        <v>12</v>
      </c>
      <c r="AT18" s="37"/>
      <c r="AU18" s="38"/>
    </row>
    <row r="19" spans="1:47" ht="18" customHeight="1">
      <c r="A19" s="65">
        <v>321</v>
      </c>
      <c r="B19" s="68" t="s">
        <v>25</v>
      </c>
      <c r="C19" s="33" t="s">
        <v>26</v>
      </c>
      <c r="D19" s="41"/>
      <c r="E19" s="75">
        <v>0</v>
      </c>
      <c r="F19" s="76">
        <v>0</v>
      </c>
      <c r="G19" s="76">
        <v>0</v>
      </c>
      <c r="H19" s="76">
        <v>0</v>
      </c>
      <c r="I19" s="76">
        <v>0</v>
      </c>
      <c r="J19" s="77">
        <f t="shared" si="0"/>
        <v>12</v>
      </c>
      <c r="K19" s="432"/>
      <c r="L19" s="24">
        <v>0</v>
      </c>
      <c r="M19" s="14">
        <v>0</v>
      </c>
      <c r="N19" s="14">
        <v>0</v>
      </c>
      <c r="O19" s="14">
        <v>0</v>
      </c>
      <c r="P19" s="14">
        <v>0</v>
      </c>
      <c r="Q19" s="77">
        <f t="shared" si="1"/>
        <v>12</v>
      </c>
      <c r="R19" s="24">
        <v>0</v>
      </c>
      <c r="S19" s="14">
        <v>0</v>
      </c>
      <c r="T19" s="14">
        <v>0</v>
      </c>
      <c r="U19" s="14">
        <v>0</v>
      </c>
      <c r="V19" s="14">
        <v>0</v>
      </c>
      <c r="W19" s="77">
        <f t="shared" si="2"/>
        <v>12</v>
      </c>
      <c r="X19" s="37"/>
      <c r="Y19" s="38"/>
      <c r="AA19" s="75">
        <v>0</v>
      </c>
      <c r="AB19" s="76">
        <v>0</v>
      </c>
      <c r="AC19" s="76">
        <v>0</v>
      </c>
      <c r="AD19" s="76">
        <v>0</v>
      </c>
      <c r="AE19" s="76">
        <v>0</v>
      </c>
      <c r="AF19" s="77">
        <f t="shared" si="3"/>
        <v>12</v>
      </c>
      <c r="AG19" s="432"/>
      <c r="AH19" s="24">
        <v>0</v>
      </c>
      <c r="AI19" s="14">
        <v>0</v>
      </c>
      <c r="AJ19" s="14">
        <v>0</v>
      </c>
      <c r="AK19" s="14">
        <v>0</v>
      </c>
      <c r="AL19" s="14">
        <v>0</v>
      </c>
      <c r="AM19" s="77">
        <f t="shared" si="4"/>
        <v>12</v>
      </c>
      <c r="AN19" s="24">
        <v>0</v>
      </c>
      <c r="AO19" s="14">
        <v>0</v>
      </c>
      <c r="AP19" s="14">
        <v>0</v>
      </c>
      <c r="AQ19" s="14">
        <v>0</v>
      </c>
      <c r="AR19" s="14">
        <v>0</v>
      </c>
      <c r="AS19" s="77">
        <f t="shared" si="5"/>
        <v>12</v>
      </c>
      <c r="AT19" s="37"/>
      <c r="AU19" s="38"/>
    </row>
    <row r="20" spans="1:47" ht="18" customHeight="1">
      <c r="A20" s="65">
        <v>322</v>
      </c>
      <c r="B20" s="68" t="s">
        <v>27</v>
      </c>
      <c r="C20" s="33" t="s">
        <v>28</v>
      </c>
      <c r="D20" s="41"/>
      <c r="E20" s="75">
        <v>380526886</v>
      </c>
      <c r="F20" s="76">
        <v>10664393</v>
      </c>
      <c r="G20" s="76">
        <v>369862493</v>
      </c>
      <c r="H20" s="76">
        <v>747</v>
      </c>
      <c r="I20" s="76">
        <v>41261</v>
      </c>
      <c r="J20" s="77">
        <f t="shared" si="0"/>
        <v>5</v>
      </c>
      <c r="K20" s="432"/>
      <c r="L20" s="24">
        <v>381474124</v>
      </c>
      <c r="M20" s="14">
        <v>10664393</v>
      </c>
      <c r="N20" s="14">
        <v>370809731</v>
      </c>
      <c r="O20" s="14">
        <v>737</v>
      </c>
      <c r="P20" s="14">
        <v>41928</v>
      </c>
      <c r="Q20" s="77">
        <f t="shared" si="1"/>
        <v>6</v>
      </c>
      <c r="R20" s="24">
        <v>371516324</v>
      </c>
      <c r="S20" s="14">
        <v>10995011</v>
      </c>
      <c r="T20" s="14">
        <v>360521313</v>
      </c>
      <c r="U20" s="14">
        <v>667.81999999999994</v>
      </c>
      <c r="V20" s="14">
        <v>44987</v>
      </c>
      <c r="W20" s="77">
        <f t="shared" si="2"/>
        <v>5</v>
      </c>
      <c r="X20" s="37"/>
      <c r="Y20" s="38"/>
      <c r="AA20" s="75">
        <v>399020010</v>
      </c>
      <c r="AB20" s="76">
        <v>10664393</v>
      </c>
      <c r="AC20" s="76">
        <v>388355617</v>
      </c>
      <c r="AD20" s="76">
        <v>737</v>
      </c>
      <c r="AE20" s="76">
        <v>43912</v>
      </c>
      <c r="AF20" s="77">
        <f t="shared" si="3"/>
        <v>6</v>
      </c>
      <c r="AG20" s="432"/>
      <c r="AH20" s="24">
        <v>390266649</v>
      </c>
      <c r="AI20" s="14">
        <v>10664393</v>
      </c>
      <c r="AJ20" s="14">
        <v>379602256</v>
      </c>
      <c r="AK20" s="14">
        <v>737</v>
      </c>
      <c r="AL20" s="14">
        <v>42922</v>
      </c>
      <c r="AM20" s="77">
        <f t="shared" si="4"/>
        <v>6</v>
      </c>
      <c r="AN20" s="24">
        <v>384714474</v>
      </c>
      <c r="AO20" s="14">
        <v>7857309</v>
      </c>
      <c r="AP20" s="14">
        <v>376857165</v>
      </c>
      <c r="AQ20" s="14">
        <v>668.58999999999992</v>
      </c>
      <c r="AR20" s="14">
        <v>46972</v>
      </c>
      <c r="AS20" s="77">
        <f t="shared" si="5"/>
        <v>6</v>
      </c>
      <c r="AT20" s="37"/>
      <c r="AU20" s="38"/>
    </row>
    <row r="21" spans="1:47" ht="18" customHeight="1">
      <c r="A21" s="65">
        <v>327</v>
      </c>
      <c r="B21" s="68" t="s">
        <v>29</v>
      </c>
      <c r="C21" s="33" t="s">
        <v>30</v>
      </c>
      <c r="D21" s="41"/>
      <c r="E21" s="75">
        <v>275902379</v>
      </c>
      <c r="F21" s="76">
        <v>1191774</v>
      </c>
      <c r="G21" s="76">
        <v>274710605</v>
      </c>
      <c r="H21" s="76">
        <v>465</v>
      </c>
      <c r="I21" s="76">
        <v>49231</v>
      </c>
      <c r="J21" s="77">
        <f t="shared" si="0"/>
        <v>1</v>
      </c>
      <c r="K21" s="432"/>
      <c r="L21" s="24">
        <v>315616377</v>
      </c>
      <c r="M21" s="14">
        <v>1191774</v>
      </c>
      <c r="N21" s="14">
        <v>314424603</v>
      </c>
      <c r="O21" s="14">
        <v>508</v>
      </c>
      <c r="P21" s="14">
        <v>51579</v>
      </c>
      <c r="Q21" s="77">
        <f t="shared" si="1"/>
        <v>1</v>
      </c>
      <c r="R21" s="24">
        <v>283500864</v>
      </c>
      <c r="S21" s="14">
        <v>3833604</v>
      </c>
      <c r="T21" s="14">
        <v>279667260</v>
      </c>
      <c r="U21" s="14">
        <v>411.70999999999992</v>
      </c>
      <c r="V21" s="14">
        <v>56607</v>
      </c>
      <c r="W21" s="77">
        <f t="shared" si="2"/>
        <v>1</v>
      </c>
      <c r="X21" s="37"/>
      <c r="Y21" s="38"/>
      <c r="AA21" s="75">
        <v>318581606</v>
      </c>
      <c r="AB21" s="76">
        <v>1191774</v>
      </c>
      <c r="AC21" s="76">
        <v>317389832</v>
      </c>
      <c r="AD21" s="76">
        <v>508</v>
      </c>
      <c r="AE21" s="76">
        <v>52065</v>
      </c>
      <c r="AF21" s="77">
        <f t="shared" si="3"/>
        <v>1</v>
      </c>
      <c r="AG21" s="432"/>
      <c r="AH21" s="24">
        <v>353628076</v>
      </c>
      <c r="AI21" s="14">
        <v>1191774</v>
      </c>
      <c r="AJ21" s="14">
        <v>352436302</v>
      </c>
      <c r="AK21" s="14">
        <v>545.17000000000007</v>
      </c>
      <c r="AL21" s="14">
        <v>53873</v>
      </c>
      <c r="AM21" s="77">
        <f t="shared" si="4"/>
        <v>1</v>
      </c>
      <c r="AN21" s="24">
        <v>354336597</v>
      </c>
      <c r="AO21" s="14">
        <v>2822862</v>
      </c>
      <c r="AP21" s="14">
        <v>351513735</v>
      </c>
      <c r="AQ21" s="14">
        <v>473.19999999999993</v>
      </c>
      <c r="AR21" s="14">
        <v>61904</v>
      </c>
      <c r="AS21" s="77">
        <f t="shared" si="5"/>
        <v>1</v>
      </c>
      <c r="AT21" s="37"/>
      <c r="AU21" s="38"/>
    </row>
    <row r="22" spans="1:47" ht="18" customHeight="1">
      <c r="A22" s="65">
        <v>328</v>
      </c>
      <c r="B22" s="68" t="s">
        <v>87</v>
      </c>
      <c r="C22" s="33" t="s">
        <v>85</v>
      </c>
      <c r="D22" s="41"/>
      <c r="E22" s="75">
        <v>0</v>
      </c>
      <c r="F22" s="76">
        <v>0</v>
      </c>
      <c r="G22" s="76">
        <v>0</v>
      </c>
      <c r="H22" s="76">
        <v>0</v>
      </c>
      <c r="I22" s="76">
        <v>0</v>
      </c>
      <c r="J22" s="77">
        <f t="shared" si="0"/>
        <v>12</v>
      </c>
      <c r="K22" s="432"/>
      <c r="L22" s="24">
        <v>0</v>
      </c>
      <c r="M22" s="14">
        <v>0</v>
      </c>
      <c r="N22" s="14">
        <v>0</v>
      </c>
      <c r="O22" s="14">
        <v>0</v>
      </c>
      <c r="P22" s="14">
        <v>0</v>
      </c>
      <c r="Q22" s="77">
        <f t="shared" si="1"/>
        <v>12</v>
      </c>
      <c r="R22" s="24">
        <v>0</v>
      </c>
      <c r="S22" s="14">
        <v>0</v>
      </c>
      <c r="T22" s="14">
        <v>0</v>
      </c>
      <c r="U22" s="14">
        <v>0</v>
      </c>
      <c r="V22" s="14">
        <v>0</v>
      </c>
      <c r="W22" s="77">
        <f t="shared" si="2"/>
        <v>12</v>
      </c>
      <c r="X22" s="37"/>
      <c r="Y22" s="38"/>
      <c r="AA22" s="75">
        <v>0</v>
      </c>
      <c r="AB22" s="76">
        <v>0</v>
      </c>
      <c r="AC22" s="76">
        <v>0</v>
      </c>
      <c r="AD22" s="76">
        <v>0</v>
      </c>
      <c r="AE22" s="76">
        <v>0</v>
      </c>
      <c r="AF22" s="77">
        <f t="shared" si="3"/>
        <v>12</v>
      </c>
      <c r="AG22" s="432"/>
      <c r="AH22" s="24">
        <v>0</v>
      </c>
      <c r="AI22" s="14">
        <v>0</v>
      </c>
      <c r="AJ22" s="14">
        <v>0</v>
      </c>
      <c r="AK22" s="14">
        <v>0</v>
      </c>
      <c r="AL22" s="14">
        <v>0</v>
      </c>
      <c r="AM22" s="77">
        <f t="shared" si="4"/>
        <v>12</v>
      </c>
      <c r="AN22" s="24">
        <v>0</v>
      </c>
      <c r="AO22" s="14">
        <v>0</v>
      </c>
      <c r="AP22" s="14">
        <v>0</v>
      </c>
      <c r="AQ22" s="14">
        <v>0</v>
      </c>
      <c r="AR22" s="14">
        <v>0</v>
      </c>
      <c r="AS22" s="77">
        <f t="shared" si="5"/>
        <v>12</v>
      </c>
      <c r="AT22" s="37"/>
      <c r="AU22" s="38"/>
    </row>
    <row r="23" spans="1:47" ht="18" customHeight="1">
      <c r="A23" s="65">
        <v>329</v>
      </c>
      <c r="B23" s="68" t="s">
        <v>31</v>
      </c>
      <c r="C23" s="33" t="s">
        <v>32</v>
      </c>
      <c r="D23" s="41"/>
      <c r="E23" s="75">
        <v>2103170653</v>
      </c>
      <c r="F23" s="76">
        <v>23736546</v>
      </c>
      <c r="G23" s="76">
        <v>2079434107</v>
      </c>
      <c r="H23" s="76">
        <v>4327.63</v>
      </c>
      <c r="I23" s="76">
        <v>40042</v>
      </c>
      <c r="J23" s="77">
        <f t="shared" si="0"/>
        <v>6</v>
      </c>
      <c r="K23" s="432"/>
      <c r="L23" s="24">
        <v>2134770653</v>
      </c>
      <c r="M23" s="14">
        <v>25336546</v>
      </c>
      <c r="N23" s="14">
        <v>2109434107</v>
      </c>
      <c r="O23" s="14">
        <v>4190.4799999999996</v>
      </c>
      <c r="P23" s="14">
        <v>41949</v>
      </c>
      <c r="Q23" s="77">
        <f t="shared" si="1"/>
        <v>5</v>
      </c>
      <c r="R23" s="24">
        <v>2142670668</v>
      </c>
      <c r="S23" s="14">
        <v>23772415</v>
      </c>
      <c r="T23" s="14">
        <v>2118898253</v>
      </c>
      <c r="U23" s="14">
        <v>4056.7999999999997</v>
      </c>
      <c r="V23" s="14">
        <v>43526</v>
      </c>
      <c r="W23" s="77">
        <f t="shared" si="2"/>
        <v>7</v>
      </c>
      <c r="X23" s="37"/>
      <c r="Y23" s="38"/>
      <c r="AA23" s="75">
        <v>2252117799</v>
      </c>
      <c r="AB23" s="76">
        <v>19503090</v>
      </c>
      <c r="AC23" s="76">
        <v>2232614709</v>
      </c>
      <c r="AD23" s="76">
        <v>4193.6000000000004</v>
      </c>
      <c r="AE23" s="76">
        <v>44366</v>
      </c>
      <c r="AF23" s="77">
        <f t="shared" si="3"/>
        <v>5</v>
      </c>
      <c r="AG23" s="432"/>
      <c r="AH23" s="24">
        <v>2283572357</v>
      </c>
      <c r="AI23" s="14">
        <v>25953090</v>
      </c>
      <c r="AJ23" s="14">
        <v>2257619267</v>
      </c>
      <c r="AK23" s="14">
        <v>4159.3500000000004</v>
      </c>
      <c r="AL23" s="14">
        <v>45232</v>
      </c>
      <c r="AM23" s="77">
        <f t="shared" si="4"/>
        <v>3</v>
      </c>
      <c r="AN23" s="24">
        <v>2262368352</v>
      </c>
      <c r="AO23" s="14">
        <v>22891361</v>
      </c>
      <c r="AP23" s="14">
        <v>2239476991</v>
      </c>
      <c r="AQ23" s="14">
        <v>4020.4800000000005</v>
      </c>
      <c r="AR23" s="14">
        <v>46418</v>
      </c>
      <c r="AS23" s="77">
        <f t="shared" si="5"/>
        <v>7</v>
      </c>
      <c r="AT23" s="37"/>
      <c r="AU23" s="38"/>
    </row>
    <row r="24" spans="1:47" ht="18" customHeight="1">
      <c r="A24" s="65">
        <v>333</v>
      </c>
      <c r="B24" s="68" t="s">
        <v>33</v>
      </c>
      <c r="C24" s="33" t="s">
        <v>34</v>
      </c>
      <c r="D24" s="41"/>
      <c r="E24" s="75">
        <v>308560419</v>
      </c>
      <c r="F24" s="76">
        <v>11386164</v>
      </c>
      <c r="G24" s="76">
        <v>297174255</v>
      </c>
      <c r="H24" s="76">
        <v>515.70000000000005</v>
      </c>
      <c r="I24" s="76">
        <v>48021</v>
      </c>
      <c r="J24" s="77">
        <f t="shared" si="0"/>
        <v>2</v>
      </c>
      <c r="K24" s="432"/>
      <c r="L24" s="24">
        <v>327760419</v>
      </c>
      <c r="M24" s="14">
        <v>11386164</v>
      </c>
      <c r="N24" s="14">
        <v>316374255</v>
      </c>
      <c r="O24" s="14">
        <v>513.78</v>
      </c>
      <c r="P24" s="14">
        <v>51315</v>
      </c>
      <c r="Q24" s="77">
        <f t="shared" si="1"/>
        <v>2</v>
      </c>
      <c r="R24" s="24">
        <v>320071509</v>
      </c>
      <c r="S24" s="14">
        <v>9975621</v>
      </c>
      <c r="T24" s="14">
        <v>310095888</v>
      </c>
      <c r="U24" s="14">
        <v>490.44</v>
      </c>
      <c r="V24" s="14">
        <v>52690</v>
      </c>
      <c r="W24" s="77">
        <f t="shared" si="2"/>
        <v>2</v>
      </c>
      <c r="X24" s="37"/>
      <c r="Y24" s="38"/>
      <c r="AA24" s="75">
        <v>328402477</v>
      </c>
      <c r="AB24" s="76">
        <v>17536164</v>
      </c>
      <c r="AC24" s="76">
        <v>310866313</v>
      </c>
      <c r="AD24" s="76">
        <v>513.70000000000005</v>
      </c>
      <c r="AE24" s="76">
        <v>50429</v>
      </c>
      <c r="AF24" s="77">
        <f t="shared" si="3"/>
        <v>2</v>
      </c>
      <c r="AG24" s="432"/>
      <c r="AH24" s="24">
        <v>329792388</v>
      </c>
      <c r="AI24" s="14">
        <v>15736164</v>
      </c>
      <c r="AJ24" s="14">
        <v>314056224</v>
      </c>
      <c r="AK24" s="14">
        <v>512.70000000000005</v>
      </c>
      <c r="AL24" s="14">
        <v>51046</v>
      </c>
      <c r="AM24" s="77">
        <f t="shared" si="4"/>
        <v>2</v>
      </c>
      <c r="AN24" s="24">
        <v>332327139</v>
      </c>
      <c r="AO24" s="14">
        <v>15345252</v>
      </c>
      <c r="AP24" s="14">
        <v>316981887</v>
      </c>
      <c r="AQ24" s="14">
        <v>487.43</v>
      </c>
      <c r="AR24" s="14">
        <v>54193</v>
      </c>
      <c r="AS24" s="77">
        <f t="shared" si="5"/>
        <v>2</v>
      </c>
      <c r="AT24" s="37"/>
      <c r="AU24" s="38"/>
    </row>
    <row r="25" spans="1:47" ht="18" customHeight="1">
      <c r="A25" s="65">
        <v>334</v>
      </c>
      <c r="B25" s="68" t="s">
        <v>35</v>
      </c>
      <c r="C25" s="33" t="s">
        <v>36</v>
      </c>
      <c r="D25" s="41"/>
      <c r="E25" s="75">
        <v>0</v>
      </c>
      <c r="F25" s="76">
        <v>0</v>
      </c>
      <c r="G25" s="76">
        <v>0</v>
      </c>
      <c r="H25" s="76">
        <v>0</v>
      </c>
      <c r="I25" s="76">
        <v>0</v>
      </c>
      <c r="J25" s="77">
        <f t="shared" si="0"/>
        <v>12</v>
      </c>
      <c r="K25" s="432"/>
      <c r="L25" s="24">
        <v>0</v>
      </c>
      <c r="M25" s="14">
        <v>0</v>
      </c>
      <c r="N25" s="14">
        <v>0</v>
      </c>
      <c r="O25" s="14">
        <v>0</v>
      </c>
      <c r="P25" s="14">
        <v>0</v>
      </c>
      <c r="Q25" s="77">
        <f t="shared" si="1"/>
        <v>12</v>
      </c>
      <c r="R25" s="24">
        <v>0</v>
      </c>
      <c r="S25" s="14">
        <v>0</v>
      </c>
      <c r="T25" s="14">
        <v>0</v>
      </c>
      <c r="U25" s="14">
        <v>0</v>
      </c>
      <c r="V25" s="14">
        <v>0</v>
      </c>
      <c r="W25" s="77">
        <f t="shared" si="2"/>
        <v>12</v>
      </c>
      <c r="X25" s="37"/>
      <c r="Y25" s="38"/>
      <c r="AA25" s="75">
        <v>0</v>
      </c>
      <c r="AB25" s="76">
        <v>0</v>
      </c>
      <c r="AC25" s="76">
        <v>0</v>
      </c>
      <c r="AD25" s="76">
        <v>0</v>
      </c>
      <c r="AE25" s="76">
        <v>0</v>
      </c>
      <c r="AF25" s="77">
        <f t="shared" si="3"/>
        <v>12</v>
      </c>
      <c r="AG25" s="432"/>
      <c r="AH25" s="24">
        <v>0</v>
      </c>
      <c r="AI25" s="14">
        <v>0</v>
      </c>
      <c r="AJ25" s="14">
        <v>0</v>
      </c>
      <c r="AK25" s="14">
        <v>0</v>
      </c>
      <c r="AL25" s="14">
        <v>0</v>
      </c>
      <c r="AM25" s="77">
        <f t="shared" si="4"/>
        <v>12</v>
      </c>
      <c r="AN25" s="24">
        <v>0</v>
      </c>
      <c r="AO25" s="14">
        <v>0</v>
      </c>
      <c r="AP25" s="14">
        <v>0</v>
      </c>
      <c r="AQ25" s="14">
        <v>0</v>
      </c>
      <c r="AR25" s="14">
        <v>0</v>
      </c>
      <c r="AS25" s="77">
        <f t="shared" si="5"/>
        <v>12</v>
      </c>
      <c r="AT25" s="37"/>
      <c r="AU25" s="38"/>
    </row>
    <row r="26" spans="1:47" ht="18" customHeight="1">
      <c r="A26" s="65">
        <v>335</v>
      </c>
      <c r="B26" s="68" t="s">
        <v>37</v>
      </c>
      <c r="C26" s="33" t="s">
        <v>38</v>
      </c>
      <c r="D26" s="41"/>
      <c r="E26" s="75">
        <v>1146663689</v>
      </c>
      <c r="F26" s="76">
        <v>9522332</v>
      </c>
      <c r="G26" s="76">
        <v>1137141357</v>
      </c>
      <c r="H26" s="76">
        <v>2464.1099999999997</v>
      </c>
      <c r="I26" s="76">
        <v>38457</v>
      </c>
      <c r="J26" s="77">
        <f t="shared" si="0"/>
        <v>7</v>
      </c>
      <c r="K26" s="432"/>
      <c r="L26" s="24">
        <v>1141572023</v>
      </c>
      <c r="M26" s="14">
        <v>9522332</v>
      </c>
      <c r="N26" s="14">
        <v>1132049691</v>
      </c>
      <c r="O26" s="14">
        <v>2440</v>
      </c>
      <c r="P26" s="14">
        <v>38663</v>
      </c>
      <c r="Q26" s="77">
        <f t="shared" si="1"/>
        <v>8</v>
      </c>
      <c r="R26" s="24">
        <v>1420113180</v>
      </c>
      <c r="S26" s="14">
        <v>21652077</v>
      </c>
      <c r="T26" s="14">
        <v>1398461103</v>
      </c>
      <c r="U26" s="14">
        <v>2521.15</v>
      </c>
      <c r="V26" s="14">
        <v>46224</v>
      </c>
      <c r="W26" s="77">
        <f t="shared" si="2"/>
        <v>4</v>
      </c>
      <c r="X26" s="37"/>
      <c r="Y26" s="38"/>
      <c r="AA26" s="75">
        <v>1229518336</v>
      </c>
      <c r="AB26" s="76">
        <v>9522332</v>
      </c>
      <c r="AC26" s="76">
        <v>1219996004</v>
      </c>
      <c r="AD26" s="76">
        <v>2436.7099999999996</v>
      </c>
      <c r="AE26" s="76">
        <v>41723</v>
      </c>
      <c r="AF26" s="77">
        <f t="shared" si="3"/>
        <v>8</v>
      </c>
      <c r="AG26" s="432"/>
      <c r="AH26" s="24">
        <v>1206492387</v>
      </c>
      <c r="AI26" s="14">
        <v>9522332</v>
      </c>
      <c r="AJ26" s="14">
        <v>1196970055</v>
      </c>
      <c r="AK26" s="14">
        <v>2433.21</v>
      </c>
      <c r="AL26" s="14">
        <v>40994</v>
      </c>
      <c r="AM26" s="77">
        <f t="shared" si="4"/>
        <v>8</v>
      </c>
      <c r="AN26" s="24">
        <v>1496835267</v>
      </c>
      <c r="AO26" s="14">
        <v>23472451</v>
      </c>
      <c r="AP26" s="14">
        <v>1473362816</v>
      </c>
      <c r="AQ26" s="14">
        <v>2516.12</v>
      </c>
      <c r="AR26" s="14">
        <v>48797</v>
      </c>
      <c r="AS26" s="77">
        <f t="shared" si="5"/>
        <v>3</v>
      </c>
      <c r="AT26" s="37"/>
      <c r="AU26" s="38"/>
    </row>
    <row r="27" spans="1:47" ht="18" customHeight="1">
      <c r="A27" s="65">
        <v>336</v>
      </c>
      <c r="B27" s="68" t="s">
        <v>39</v>
      </c>
      <c r="C27" s="33" t="s">
        <v>40</v>
      </c>
      <c r="D27" s="41"/>
      <c r="E27" s="75">
        <v>0</v>
      </c>
      <c r="F27" s="76">
        <v>0</v>
      </c>
      <c r="G27" s="76">
        <v>0</v>
      </c>
      <c r="H27" s="76">
        <v>0</v>
      </c>
      <c r="I27" s="76">
        <v>0</v>
      </c>
      <c r="J27" s="77">
        <f t="shared" si="0"/>
        <v>12</v>
      </c>
      <c r="K27" s="432"/>
      <c r="L27" s="24">
        <v>0</v>
      </c>
      <c r="M27" s="14">
        <v>0</v>
      </c>
      <c r="N27" s="14">
        <v>0</v>
      </c>
      <c r="O27" s="14">
        <v>0</v>
      </c>
      <c r="P27" s="14">
        <v>0</v>
      </c>
      <c r="Q27" s="77">
        <f t="shared" si="1"/>
        <v>12</v>
      </c>
      <c r="R27" s="24">
        <v>0</v>
      </c>
      <c r="S27" s="14">
        <v>0</v>
      </c>
      <c r="T27" s="14">
        <v>0</v>
      </c>
      <c r="U27" s="14">
        <v>0</v>
      </c>
      <c r="V27" s="14">
        <v>0</v>
      </c>
      <c r="W27" s="77">
        <f t="shared" si="2"/>
        <v>12</v>
      </c>
      <c r="X27" s="37"/>
      <c r="Y27" s="38"/>
      <c r="AA27" s="75">
        <v>0</v>
      </c>
      <c r="AB27" s="76">
        <v>0</v>
      </c>
      <c r="AC27" s="76">
        <v>0</v>
      </c>
      <c r="AD27" s="76">
        <v>0</v>
      </c>
      <c r="AE27" s="76">
        <v>0</v>
      </c>
      <c r="AF27" s="77">
        <f t="shared" si="3"/>
        <v>12</v>
      </c>
      <c r="AG27" s="432"/>
      <c r="AH27" s="24">
        <v>0</v>
      </c>
      <c r="AI27" s="14">
        <v>0</v>
      </c>
      <c r="AJ27" s="14">
        <v>0</v>
      </c>
      <c r="AK27" s="14">
        <v>0</v>
      </c>
      <c r="AL27" s="14">
        <v>0</v>
      </c>
      <c r="AM27" s="77">
        <f t="shared" si="4"/>
        <v>12</v>
      </c>
      <c r="AN27" s="24">
        <v>0</v>
      </c>
      <c r="AO27" s="14">
        <v>0</v>
      </c>
      <c r="AP27" s="14">
        <v>0</v>
      </c>
      <c r="AQ27" s="14">
        <v>0</v>
      </c>
      <c r="AR27" s="14">
        <v>0</v>
      </c>
      <c r="AS27" s="77">
        <f t="shared" si="5"/>
        <v>12</v>
      </c>
      <c r="AT27" s="37"/>
      <c r="AU27" s="38"/>
    </row>
    <row r="28" spans="1:47" ht="18" customHeight="1">
      <c r="A28" s="65">
        <v>343</v>
      </c>
      <c r="B28" s="68" t="s">
        <v>83</v>
      </c>
      <c r="C28" s="33" t="s">
        <v>92</v>
      </c>
      <c r="D28" s="41"/>
      <c r="E28" s="75">
        <v>0</v>
      </c>
      <c r="F28" s="76">
        <v>0</v>
      </c>
      <c r="G28" s="76">
        <v>0</v>
      </c>
      <c r="H28" s="76">
        <v>0</v>
      </c>
      <c r="I28" s="76">
        <v>0</v>
      </c>
      <c r="J28" s="77">
        <f t="shared" si="0"/>
        <v>12</v>
      </c>
      <c r="K28" s="432"/>
      <c r="L28" s="24">
        <v>0</v>
      </c>
      <c r="M28" s="14">
        <v>0</v>
      </c>
      <c r="N28" s="14">
        <v>0</v>
      </c>
      <c r="O28" s="14">
        <v>0</v>
      </c>
      <c r="P28" s="14">
        <v>0</v>
      </c>
      <c r="Q28" s="77">
        <f t="shared" si="1"/>
        <v>12</v>
      </c>
      <c r="R28" s="24">
        <v>0</v>
      </c>
      <c r="S28" s="14">
        <v>0</v>
      </c>
      <c r="T28" s="14">
        <v>0</v>
      </c>
      <c r="U28" s="14">
        <v>0</v>
      </c>
      <c r="V28" s="14">
        <v>0</v>
      </c>
      <c r="W28" s="77">
        <f t="shared" si="2"/>
        <v>12</v>
      </c>
      <c r="X28" s="37"/>
      <c r="Y28" s="38"/>
      <c r="AA28" s="75">
        <v>0</v>
      </c>
      <c r="AB28" s="76">
        <v>0</v>
      </c>
      <c r="AC28" s="76">
        <v>0</v>
      </c>
      <c r="AD28" s="76">
        <v>0</v>
      </c>
      <c r="AE28" s="76">
        <v>0</v>
      </c>
      <c r="AF28" s="77">
        <f t="shared" si="3"/>
        <v>12</v>
      </c>
      <c r="AG28" s="432"/>
      <c r="AH28" s="24">
        <v>0</v>
      </c>
      <c r="AI28" s="14">
        <v>0</v>
      </c>
      <c r="AJ28" s="14">
        <v>0</v>
      </c>
      <c r="AK28" s="14">
        <v>0</v>
      </c>
      <c r="AL28" s="14">
        <v>0</v>
      </c>
      <c r="AM28" s="77">
        <f t="shared" si="4"/>
        <v>12</v>
      </c>
      <c r="AN28" s="24">
        <v>0</v>
      </c>
      <c r="AO28" s="14">
        <v>0</v>
      </c>
      <c r="AP28" s="14">
        <v>0</v>
      </c>
      <c r="AQ28" s="14">
        <v>0</v>
      </c>
      <c r="AR28" s="14">
        <v>0</v>
      </c>
      <c r="AS28" s="77">
        <f t="shared" si="5"/>
        <v>12</v>
      </c>
      <c r="AT28" s="37"/>
      <c r="AU28" s="38"/>
    </row>
    <row r="29" spans="1:47" ht="18" customHeight="1">
      <c r="A29" s="65">
        <v>344</v>
      </c>
      <c r="B29" s="68" t="s">
        <v>41</v>
      </c>
      <c r="C29" s="33" t="s">
        <v>42</v>
      </c>
      <c r="D29" s="41"/>
      <c r="E29" s="75">
        <v>0</v>
      </c>
      <c r="F29" s="76">
        <v>0</v>
      </c>
      <c r="G29" s="76">
        <v>0</v>
      </c>
      <c r="H29" s="76">
        <v>0</v>
      </c>
      <c r="I29" s="76">
        <v>0</v>
      </c>
      <c r="J29" s="77">
        <f t="shared" si="0"/>
        <v>12</v>
      </c>
      <c r="K29" s="432"/>
      <c r="L29" s="24">
        <v>0</v>
      </c>
      <c r="M29" s="14">
        <v>0</v>
      </c>
      <c r="N29" s="14">
        <v>0</v>
      </c>
      <c r="O29" s="14">
        <v>0</v>
      </c>
      <c r="P29" s="14">
        <v>0</v>
      </c>
      <c r="Q29" s="77">
        <f t="shared" si="1"/>
        <v>12</v>
      </c>
      <c r="R29" s="24">
        <v>0</v>
      </c>
      <c r="S29" s="14">
        <v>0</v>
      </c>
      <c r="T29" s="14">
        <v>0</v>
      </c>
      <c r="U29" s="14">
        <v>0</v>
      </c>
      <c r="V29" s="14">
        <v>0</v>
      </c>
      <c r="W29" s="77">
        <f t="shared" si="2"/>
        <v>12</v>
      </c>
      <c r="X29" s="37"/>
      <c r="Y29" s="38"/>
      <c r="AA29" s="75">
        <v>0</v>
      </c>
      <c r="AB29" s="76">
        <v>0</v>
      </c>
      <c r="AC29" s="76">
        <v>0</v>
      </c>
      <c r="AD29" s="76">
        <v>0</v>
      </c>
      <c r="AE29" s="76">
        <v>0</v>
      </c>
      <c r="AF29" s="77">
        <f t="shared" si="3"/>
        <v>12</v>
      </c>
      <c r="AG29" s="432"/>
      <c r="AH29" s="24">
        <v>0</v>
      </c>
      <c r="AI29" s="14">
        <v>0</v>
      </c>
      <c r="AJ29" s="14">
        <v>0</v>
      </c>
      <c r="AK29" s="14">
        <v>0</v>
      </c>
      <c r="AL29" s="14">
        <v>0</v>
      </c>
      <c r="AM29" s="77">
        <f t="shared" si="4"/>
        <v>12</v>
      </c>
      <c r="AN29" s="24">
        <v>0</v>
      </c>
      <c r="AO29" s="14">
        <v>0</v>
      </c>
      <c r="AP29" s="14">
        <v>0</v>
      </c>
      <c r="AQ29" s="14">
        <v>0</v>
      </c>
      <c r="AR29" s="14">
        <v>0</v>
      </c>
      <c r="AS29" s="77">
        <f t="shared" si="5"/>
        <v>12</v>
      </c>
      <c r="AT29" s="37"/>
      <c r="AU29" s="38"/>
    </row>
    <row r="30" spans="1:47" ht="18" customHeight="1">
      <c r="A30" s="65">
        <v>345</v>
      </c>
      <c r="B30" s="68" t="s">
        <v>43</v>
      </c>
      <c r="C30" s="33" t="s">
        <v>44</v>
      </c>
      <c r="D30" s="41"/>
      <c r="E30" s="75">
        <v>0</v>
      </c>
      <c r="F30" s="76">
        <v>0</v>
      </c>
      <c r="G30" s="76">
        <v>0</v>
      </c>
      <c r="H30" s="76">
        <v>0</v>
      </c>
      <c r="I30" s="76">
        <v>0</v>
      </c>
      <c r="J30" s="77">
        <f t="shared" si="0"/>
        <v>12</v>
      </c>
      <c r="K30" s="432"/>
      <c r="L30" s="24">
        <v>0</v>
      </c>
      <c r="M30" s="14">
        <v>0</v>
      </c>
      <c r="N30" s="14">
        <v>0</v>
      </c>
      <c r="O30" s="14">
        <v>0</v>
      </c>
      <c r="P30" s="14">
        <v>0</v>
      </c>
      <c r="Q30" s="77">
        <f t="shared" si="1"/>
        <v>12</v>
      </c>
      <c r="R30" s="24">
        <v>0</v>
      </c>
      <c r="S30" s="14">
        <v>0</v>
      </c>
      <c r="T30" s="14">
        <v>0</v>
      </c>
      <c r="U30" s="14">
        <v>0</v>
      </c>
      <c r="V30" s="14">
        <v>0</v>
      </c>
      <c r="W30" s="77">
        <f t="shared" si="2"/>
        <v>12</v>
      </c>
      <c r="X30" s="37"/>
      <c r="Y30" s="38"/>
      <c r="AA30" s="75">
        <v>0</v>
      </c>
      <c r="AB30" s="76">
        <v>0</v>
      </c>
      <c r="AC30" s="76">
        <v>0</v>
      </c>
      <c r="AD30" s="76">
        <v>0</v>
      </c>
      <c r="AE30" s="76">
        <v>0</v>
      </c>
      <c r="AF30" s="77">
        <f t="shared" si="3"/>
        <v>12</v>
      </c>
      <c r="AG30" s="432"/>
      <c r="AH30" s="24">
        <v>0</v>
      </c>
      <c r="AI30" s="14">
        <v>0</v>
      </c>
      <c r="AJ30" s="14">
        <v>0</v>
      </c>
      <c r="AK30" s="14">
        <v>0</v>
      </c>
      <c r="AL30" s="14">
        <v>0</v>
      </c>
      <c r="AM30" s="77">
        <f t="shared" si="4"/>
        <v>12</v>
      </c>
      <c r="AN30" s="24">
        <v>0</v>
      </c>
      <c r="AO30" s="14">
        <v>0</v>
      </c>
      <c r="AP30" s="14">
        <v>0</v>
      </c>
      <c r="AQ30" s="14">
        <v>0</v>
      </c>
      <c r="AR30" s="14">
        <v>0</v>
      </c>
      <c r="AS30" s="77">
        <f t="shared" si="5"/>
        <v>12</v>
      </c>
      <c r="AT30" s="37"/>
      <c r="AU30" s="38"/>
    </row>
    <row r="31" spans="1:47" ht="18" customHeight="1">
      <c r="A31" s="65">
        <v>346</v>
      </c>
      <c r="B31" s="68" t="s">
        <v>45</v>
      </c>
      <c r="C31" s="33" t="s">
        <v>46</v>
      </c>
      <c r="D31" s="41"/>
      <c r="E31" s="75">
        <v>2064126768</v>
      </c>
      <c r="F31" s="76">
        <v>3099330</v>
      </c>
      <c r="G31" s="76">
        <v>2061027438</v>
      </c>
      <c r="H31" s="76">
        <v>4743</v>
      </c>
      <c r="I31" s="76">
        <v>36212</v>
      </c>
      <c r="J31" s="77">
        <f t="shared" si="0"/>
        <v>9</v>
      </c>
      <c r="K31" s="432"/>
      <c r="L31" s="24">
        <v>2104887138</v>
      </c>
      <c r="M31" s="14">
        <v>4227150</v>
      </c>
      <c r="N31" s="14">
        <v>2100659988</v>
      </c>
      <c r="O31" s="14">
        <v>4740</v>
      </c>
      <c r="P31" s="14">
        <v>36931</v>
      </c>
      <c r="Q31" s="77">
        <f t="shared" si="1"/>
        <v>10</v>
      </c>
      <c r="R31" s="24">
        <v>2085917511</v>
      </c>
      <c r="S31" s="14">
        <v>4050935</v>
      </c>
      <c r="T31" s="14">
        <v>2081866576</v>
      </c>
      <c r="U31" s="14">
        <v>4519.49</v>
      </c>
      <c r="V31" s="14">
        <v>38387</v>
      </c>
      <c r="W31" s="77">
        <f t="shared" si="2"/>
        <v>10</v>
      </c>
      <c r="X31" s="37"/>
      <c r="Y31" s="38"/>
      <c r="AA31" s="75">
        <v>2382095477</v>
      </c>
      <c r="AB31" s="76">
        <v>3038330</v>
      </c>
      <c r="AC31" s="76">
        <v>2379057147</v>
      </c>
      <c r="AD31" s="76">
        <v>4702</v>
      </c>
      <c r="AE31" s="76">
        <v>42164</v>
      </c>
      <c r="AF31" s="77">
        <f t="shared" si="3"/>
        <v>7</v>
      </c>
      <c r="AG31" s="432"/>
      <c r="AH31" s="24">
        <v>2367375292</v>
      </c>
      <c r="AI31" s="14">
        <v>3876550</v>
      </c>
      <c r="AJ31" s="14">
        <v>2363498742</v>
      </c>
      <c r="AK31" s="14">
        <v>4702</v>
      </c>
      <c r="AL31" s="14">
        <v>41888</v>
      </c>
      <c r="AM31" s="77">
        <f t="shared" si="4"/>
        <v>7</v>
      </c>
      <c r="AN31" s="24">
        <v>2363504598</v>
      </c>
      <c r="AO31" s="14">
        <v>4797699</v>
      </c>
      <c r="AP31" s="14">
        <v>2358706899</v>
      </c>
      <c r="AQ31" s="14">
        <v>4473.42</v>
      </c>
      <c r="AR31" s="14">
        <v>43939</v>
      </c>
      <c r="AS31" s="77">
        <f t="shared" si="5"/>
        <v>8</v>
      </c>
      <c r="AT31" s="37"/>
      <c r="AU31" s="38"/>
    </row>
    <row r="32" spans="1:47" ht="18" customHeight="1">
      <c r="A32" s="65">
        <v>348</v>
      </c>
      <c r="B32" s="68" t="s">
        <v>47</v>
      </c>
      <c r="C32" s="33" t="s">
        <v>93</v>
      </c>
      <c r="D32" s="41"/>
      <c r="E32" s="75">
        <v>0</v>
      </c>
      <c r="F32" s="76">
        <v>0</v>
      </c>
      <c r="G32" s="76">
        <v>0</v>
      </c>
      <c r="H32" s="76">
        <v>0</v>
      </c>
      <c r="I32" s="76">
        <v>0</v>
      </c>
      <c r="J32" s="77">
        <f t="shared" si="0"/>
        <v>12</v>
      </c>
      <c r="K32" s="432"/>
      <c r="L32" s="24">
        <v>0</v>
      </c>
      <c r="M32" s="14">
        <v>0</v>
      </c>
      <c r="N32" s="14">
        <v>0</v>
      </c>
      <c r="O32" s="14">
        <v>0</v>
      </c>
      <c r="P32" s="14">
        <v>0</v>
      </c>
      <c r="Q32" s="77">
        <f t="shared" si="1"/>
        <v>12</v>
      </c>
      <c r="R32" s="24">
        <v>0</v>
      </c>
      <c r="S32" s="14">
        <v>0</v>
      </c>
      <c r="T32" s="14">
        <v>0</v>
      </c>
      <c r="U32" s="14">
        <v>0</v>
      </c>
      <c r="V32" s="14">
        <v>0</v>
      </c>
      <c r="W32" s="77">
        <f t="shared" si="2"/>
        <v>12</v>
      </c>
      <c r="X32" s="37"/>
      <c r="Y32" s="38"/>
      <c r="AA32" s="75">
        <v>0</v>
      </c>
      <c r="AB32" s="76">
        <v>0</v>
      </c>
      <c r="AC32" s="76">
        <v>0</v>
      </c>
      <c r="AD32" s="76">
        <v>0</v>
      </c>
      <c r="AE32" s="76">
        <v>0</v>
      </c>
      <c r="AF32" s="77">
        <f t="shared" si="3"/>
        <v>12</v>
      </c>
      <c r="AG32" s="432"/>
      <c r="AH32" s="24">
        <v>0</v>
      </c>
      <c r="AI32" s="14">
        <v>0</v>
      </c>
      <c r="AJ32" s="14">
        <v>0</v>
      </c>
      <c r="AK32" s="14">
        <v>0</v>
      </c>
      <c r="AL32" s="14">
        <v>0</v>
      </c>
      <c r="AM32" s="77">
        <f t="shared" si="4"/>
        <v>12</v>
      </c>
      <c r="AN32" s="24">
        <v>0</v>
      </c>
      <c r="AO32" s="14">
        <v>0</v>
      </c>
      <c r="AP32" s="14">
        <v>0</v>
      </c>
      <c r="AQ32" s="14">
        <v>0</v>
      </c>
      <c r="AR32" s="14">
        <v>0</v>
      </c>
      <c r="AS32" s="77">
        <f t="shared" si="5"/>
        <v>12</v>
      </c>
      <c r="AT32" s="37"/>
      <c r="AU32" s="38"/>
    </row>
    <row r="33" spans="1:47" ht="18" customHeight="1">
      <c r="A33" s="65">
        <v>349</v>
      </c>
      <c r="B33" s="68" t="s">
        <v>88</v>
      </c>
      <c r="C33" s="33" t="s">
        <v>89</v>
      </c>
      <c r="D33" s="41"/>
      <c r="E33" s="75">
        <v>0</v>
      </c>
      <c r="F33" s="76">
        <v>0</v>
      </c>
      <c r="G33" s="76">
        <v>0</v>
      </c>
      <c r="H33" s="76">
        <v>0</v>
      </c>
      <c r="I33" s="76">
        <v>0</v>
      </c>
      <c r="J33" s="77">
        <f t="shared" si="0"/>
        <v>12</v>
      </c>
      <c r="K33" s="432"/>
      <c r="L33" s="24">
        <v>0</v>
      </c>
      <c r="M33" s="14">
        <v>0</v>
      </c>
      <c r="N33" s="14">
        <v>0</v>
      </c>
      <c r="O33" s="14">
        <v>0</v>
      </c>
      <c r="P33" s="14">
        <v>0</v>
      </c>
      <c r="Q33" s="77">
        <f t="shared" si="1"/>
        <v>12</v>
      </c>
      <c r="R33" s="24">
        <v>0</v>
      </c>
      <c r="S33" s="14">
        <v>0</v>
      </c>
      <c r="T33" s="14">
        <v>0</v>
      </c>
      <c r="U33" s="14">
        <v>0</v>
      </c>
      <c r="V33" s="14">
        <v>0</v>
      </c>
      <c r="W33" s="77">
        <f t="shared" si="2"/>
        <v>12</v>
      </c>
      <c r="X33" s="37"/>
      <c r="Y33" s="38"/>
      <c r="AA33" s="75">
        <v>0</v>
      </c>
      <c r="AB33" s="76">
        <v>0</v>
      </c>
      <c r="AC33" s="76">
        <v>0</v>
      </c>
      <c r="AD33" s="76">
        <v>0</v>
      </c>
      <c r="AE33" s="76">
        <v>0</v>
      </c>
      <c r="AF33" s="77">
        <f t="shared" si="3"/>
        <v>12</v>
      </c>
      <c r="AG33" s="432"/>
      <c r="AH33" s="24">
        <v>0</v>
      </c>
      <c r="AI33" s="14">
        <v>0</v>
      </c>
      <c r="AJ33" s="14">
        <v>0</v>
      </c>
      <c r="AK33" s="14">
        <v>0</v>
      </c>
      <c r="AL33" s="14">
        <v>0</v>
      </c>
      <c r="AM33" s="77">
        <f t="shared" si="4"/>
        <v>12</v>
      </c>
      <c r="AN33" s="24">
        <v>0</v>
      </c>
      <c r="AO33" s="14">
        <v>0</v>
      </c>
      <c r="AP33" s="14">
        <v>0</v>
      </c>
      <c r="AQ33" s="14">
        <v>0</v>
      </c>
      <c r="AR33" s="14">
        <v>0</v>
      </c>
      <c r="AS33" s="77">
        <f t="shared" si="5"/>
        <v>12</v>
      </c>
      <c r="AT33" s="37"/>
      <c r="AU33" s="38"/>
    </row>
    <row r="34" spans="1:47" ht="18" customHeight="1">
      <c r="A34" s="65">
        <v>353</v>
      </c>
      <c r="B34" s="68" t="s">
        <v>48</v>
      </c>
      <c r="C34" s="33" t="s">
        <v>49</v>
      </c>
      <c r="D34" s="41"/>
      <c r="E34" s="75">
        <v>0</v>
      </c>
      <c r="F34" s="76">
        <v>0</v>
      </c>
      <c r="G34" s="76">
        <v>0</v>
      </c>
      <c r="H34" s="76">
        <v>0</v>
      </c>
      <c r="I34" s="76">
        <v>0</v>
      </c>
      <c r="J34" s="77">
        <f t="shared" si="0"/>
        <v>12</v>
      </c>
      <c r="K34" s="432"/>
      <c r="L34" s="24">
        <v>0</v>
      </c>
      <c r="M34" s="14">
        <v>0</v>
      </c>
      <c r="N34" s="14">
        <v>0</v>
      </c>
      <c r="O34" s="14">
        <v>0</v>
      </c>
      <c r="P34" s="14">
        <v>0</v>
      </c>
      <c r="Q34" s="77">
        <f t="shared" si="1"/>
        <v>12</v>
      </c>
      <c r="R34" s="24">
        <v>0</v>
      </c>
      <c r="S34" s="14">
        <v>0</v>
      </c>
      <c r="T34" s="14">
        <v>0</v>
      </c>
      <c r="U34" s="14">
        <v>0</v>
      </c>
      <c r="V34" s="14">
        <v>0</v>
      </c>
      <c r="W34" s="77">
        <f t="shared" si="2"/>
        <v>12</v>
      </c>
      <c r="X34" s="37"/>
      <c r="Y34" s="38"/>
      <c r="AA34" s="75">
        <v>0</v>
      </c>
      <c r="AB34" s="76">
        <v>0</v>
      </c>
      <c r="AC34" s="76">
        <v>0</v>
      </c>
      <c r="AD34" s="76">
        <v>0</v>
      </c>
      <c r="AE34" s="76">
        <v>0</v>
      </c>
      <c r="AF34" s="77">
        <f t="shared" si="3"/>
        <v>12</v>
      </c>
      <c r="AG34" s="432"/>
      <c r="AH34" s="24">
        <v>0</v>
      </c>
      <c r="AI34" s="14">
        <v>0</v>
      </c>
      <c r="AJ34" s="14">
        <v>0</v>
      </c>
      <c r="AK34" s="14">
        <v>0</v>
      </c>
      <c r="AL34" s="14">
        <v>0</v>
      </c>
      <c r="AM34" s="77">
        <f t="shared" si="4"/>
        <v>12</v>
      </c>
      <c r="AN34" s="24">
        <v>0</v>
      </c>
      <c r="AO34" s="14">
        <v>0</v>
      </c>
      <c r="AP34" s="14">
        <v>0</v>
      </c>
      <c r="AQ34" s="14">
        <v>0</v>
      </c>
      <c r="AR34" s="14">
        <v>0</v>
      </c>
      <c r="AS34" s="77">
        <f t="shared" si="5"/>
        <v>12</v>
      </c>
      <c r="AT34" s="37"/>
      <c r="AU34" s="38"/>
    </row>
    <row r="35" spans="1:47" ht="18" customHeight="1">
      <c r="A35" s="65">
        <v>355</v>
      </c>
      <c r="B35" s="68" t="s">
        <v>100</v>
      </c>
      <c r="C35" s="33" t="s">
        <v>202</v>
      </c>
      <c r="D35" s="41"/>
      <c r="E35" s="75">
        <v>56572642</v>
      </c>
      <c r="F35" s="76">
        <v>303513</v>
      </c>
      <c r="G35" s="76">
        <v>56269129</v>
      </c>
      <c r="H35" s="76">
        <v>145</v>
      </c>
      <c r="I35" s="76">
        <v>32339</v>
      </c>
      <c r="J35" s="77">
        <f t="shared" si="0"/>
        <v>11</v>
      </c>
      <c r="K35" s="432"/>
      <c r="L35" s="24">
        <v>61089703</v>
      </c>
      <c r="M35" s="14">
        <v>1873353</v>
      </c>
      <c r="N35" s="14">
        <v>59216350</v>
      </c>
      <c r="O35" s="14">
        <v>146</v>
      </c>
      <c r="P35" s="14">
        <v>33799</v>
      </c>
      <c r="Q35" s="77">
        <f t="shared" si="1"/>
        <v>11</v>
      </c>
      <c r="R35" s="24">
        <v>60321846</v>
      </c>
      <c r="S35" s="14">
        <v>1379560</v>
      </c>
      <c r="T35" s="14">
        <v>58942286</v>
      </c>
      <c r="U35" s="14">
        <v>132.49</v>
      </c>
      <c r="V35" s="14">
        <v>37073</v>
      </c>
      <c r="W35" s="77">
        <f t="shared" si="2"/>
        <v>11</v>
      </c>
      <c r="X35" s="37"/>
      <c r="Y35" s="38"/>
      <c r="AA35" s="75">
        <v>63296679</v>
      </c>
      <c r="AB35" s="76">
        <v>303513</v>
      </c>
      <c r="AC35" s="76">
        <v>62993166</v>
      </c>
      <c r="AD35" s="76">
        <v>147</v>
      </c>
      <c r="AE35" s="76">
        <v>35710</v>
      </c>
      <c r="AF35" s="77">
        <f t="shared" si="3"/>
        <v>11</v>
      </c>
      <c r="AG35" s="432"/>
      <c r="AH35" s="24">
        <v>63296679</v>
      </c>
      <c r="AI35" s="14">
        <v>303513</v>
      </c>
      <c r="AJ35" s="14">
        <v>62993166</v>
      </c>
      <c r="AK35" s="14">
        <v>147</v>
      </c>
      <c r="AL35" s="14">
        <v>35710</v>
      </c>
      <c r="AM35" s="77">
        <f t="shared" si="4"/>
        <v>11</v>
      </c>
      <c r="AN35" s="24">
        <v>62552123</v>
      </c>
      <c r="AO35" s="14">
        <v>326768</v>
      </c>
      <c r="AP35" s="14">
        <v>62225355</v>
      </c>
      <c r="AQ35" s="14">
        <v>133.63</v>
      </c>
      <c r="AR35" s="14">
        <v>38805</v>
      </c>
      <c r="AS35" s="77">
        <f t="shared" si="5"/>
        <v>11</v>
      </c>
      <c r="AT35" s="37"/>
      <c r="AU35" s="38"/>
    </row>
    <row r="36" spans="1:47" ht="18" customHeight="1">
      <c r="A36" s="65">
        <v>358</v>
      </c>
      <c r="B36" s="68" t="s">
        <v>50</v>
      </c>
      <c r="C36" s="33" t="s">
        <v>51</v>
      </c>
      <c r="D36" s="245"/>
      <c r="E36" s="145">
        <v>0</v>
      </c>
      <c r="F36" s="158">
        <v>0</v>
      </c>
      <c r="G36" s="158">
        <v>0</v>
      </c>
      <c r="H36" s="158">
        <v>0</v>
      </c>
      <c r="I36" s="158">
        <v>0</v>
      </c>
      <c r="J36" s="246">
        <f t="shared" si="0"/>
        <v>12</v>
      </c>
      <c r="K36" s="432"/>
      <c r="L36" s="159">
        <v>0</v>
      </c>
      <c r="M36" s="140">
        <v>0</v>
      </c>
      <c r="N36" s="140">
        <v>0</v>
      </c>
      <c r="O36" s="140">
        <v>0</v>
      </c>
      <c r="P36" s="140">
        <v>0</v>
      </c>
      <c r="Q36" s="246">
        <f t="shared" si="1"/>
        <v>12</v>
      </c>
      <c r="R36" s="159">
        <v>0</v>
      </c>
      <c r="S36" s="140">
        <v>0</v>
      </c>
      <c r="T36" s="140">
        <v>0</v>
      </c>
      <c r="U36" s="140">
        <v>0</v>
      </c>
      <c r="V36" s="140">
        <v>0</v>
      </c>
      <c r="W36" s="246">
        <f t="shared" si="2"/>
        <v>12</v>
      </c>
      <c r="X36" s="37"/>
      <c r="Y36" s="38"/>
      <c r="AA36" s="145">
        <v>0</v>
      </c>
      <c r="AB36" s="158">
        <v>0</v>
      </c>
      <c r="AC36" s="158">
        <v>0</v>
      </c>
      <c r="AD36" s="158">
        <v>0</v>
      </c>
      <c r="AE36" s="158">
        <v>0</v>
      </c>
      <c r="AF36" s="246">
        <f t="shared" si="3"/>
        <v>12</v>
      </c>
      <c r="AG36" s="432"/>
      <c r="AH36" s="159">
        <v>0</v>
      </c>
      <c r="AI36" s="140">
        <v>0</v>
      </c>
      <c r="AJ36" s="140">
        <v>0</v>
      </c>
      <c r="AK36" s="140">
        <v>0</v>
      </c>
      <c r="AL36" s="140">
        <v>0</v>
      </c>
      <c r="AM36" s="246">
        <f t="shared" si="4"/>
        <v>12</v>
      </c>
      <c r="AN36" s="159">
        <v>0</v>
      </c>
      <c r="AO36" s="140">
        <v>0</v>
      </c>
      <c r="AP36" s="140">
        <v>0</v>
      </c>
      <c r="AQ36" s="140">
        <v>0</v>
      </c>
      <c r="AR36" s="140">
        <v>0</v>
      </c>
      <c r="AS36" s="246">
        <f t="shared" si="5"/>
        <v>12</v>
      </c>
      <c r="AT36" s="37"/>
      <c r="AU36" s="38"/>
    </row>
    <row r="37" spans="1:47" ht="18" customHeight="1">
      <c r="A37" s="65">
        <v>359</v>
      </c>
      <c r="B37" s="68" t="s">
        <v>190</v>
      </c>
      <c r="C37" s="33" t="s">
        <v>203</v>
      </c>
      <c r="D37" s="245"/>
      <c r="E37" s="145">
        <v>0</v>
      </c>
      <c r="F37" s="158">
        <v>0</v>
      </c>
      <c r="G37" s="158">
        <v>0</v>
      </c>
      <c r="H37" s="158">
        <v>0</v>
      </c>
      <c r="I37" s="158">
        <v>0</v>
      </c>
      <c r="J37" s="246">
        <f t="shared" si="0"/>
        <v>12</v>
      </c>
      <c r="K37" s="432"/>
      <c r="L37" s="159">
        <v>0</v>
      </c>
      <c r="M37" s="140">
        <v>0</v>
      </c>
      <c r="N37" s="140">
        <v>0</v>
      </c>
      <c r="O37" s="140">
        <v>0</v>
      </c>
      <c r="P37" s="140">
        <v>0</v>
      </c>
      <c r="Q37" s="246">
        <f t="shared" si="1"/>
        <v>12</v>
      </c>
      <c r="R37" s="159">
        <v>0</v>
      </c>
      <c r="S37" s="140">
        <v>0</v>
      </c>
      <c r="T37" s="140">
        <v>0</v>
      </c>
      <c r="U37" s="140">
        <v>0</v>
      </c>
      <c r="V37" s="140">
        <v>0</v>
      </c>
      <c r="W37" s="246">
        <f t="shared" si="2"/>
        <v>12</v>
      </c>
      <c r="X37" s="37"/>
      <c r="Y37" s="38"/>
      <c r="AA37" s="145">
        <v>0</v>
      </c>
      <c r="AB37" s="158">
        <v>0</v>
      </c>
      <c r="AC37" s="158">
        <v>0</v>
      </c>
      <c r="AD37" s="158">
        <v>0</v>
      </c>
      <c r="AE37" s="158">
        <v>0</v>
      </c>
      <c r="AF37" s="246">
        <f t="shared" si="3"/>
        <v>12</v>
      </c>
      <c r="AG37" s="432"/>
      <c r="AH37" s="159">
        <v>0</v>
      </c>
      <c r="AI37" s="140">
        <v>0</v>
      </c>
      <c r="AJ37" s="140">
        <v>0</v>
      </c>
      <c r="AK37" s="140">
        <v>0</v>
      </c>
      <c r="AL37" s="140">
        <v>0</v>
      </c>
      <c r="AM37" s="246">
        <f t="shared" si="4"/>
        <v>12</v>
      </c>
      <c r="AN37" s="159">
        <v>0</v>
      </c>
      <c r="AO37" s="140">
        <v>0</v>
      </c>
      <c r="AP37" s="140">
        <v>0</v>
      </c>
      <c r="AQ37" s="140">
        <v>0</v>
      </c>
      <c r="AR37" s="140">
        <v>0</v>
      </c>
      <c r="AS37" s="246">
        <f t="shared" si="5"/>
        <v>12</v>
      </c>
      <c r="AT37" s="37"/>
      <c r="AU37" s="38"/>
    </row>
    <row r="38" spans="1:47" ht="18" customHeight="1">
      <c r="A38" s="65">
        <v>361</v>
      </c>
      <c r="B38" s="68" t="s">
        <v>52</v>
      </c>
      <c r="C38" s="33" t="s">
        <v>53</v>
      </c>
      <c r="D38" s="41"/>
      <c r="E38" s="75">
        <v>0</v>
      </c>
      <c r="F38" s="76">
        <v>0</v>
      </c>
      <c r="G38" s="76">
        <v>0</v>
      </c>
      <c r="H38" s="76">
        <v>0</v>
      </c>
      <c r="I38" s="76">
        <v>0</v>
      </c>
      <c r="J38" s="77">
        <f t="shared" si="0"/>
        <v>12</v>
      </c>
      <c r="K38" s="432"/>
      <c r="L38" s="24">
        <v>0</v>
      </c>
      <c r="M38" s="14">
        <v>0</v>
      </c>
      <c r="N38" s="14">
        <v>0</v>
      </c>
      <c r="O38" s="14">
        <v>0</v>
      </c>
      <c r="P38" s="14">
        <v>0</v>
      </c>
      <c r="Q38" s="77">
        <f t="shared" si="1"/>
        <v>12</v>
      </c>
      <c r="R38" s="24">
        <v>0</v>
      </c>
      <c r="S38" s="14">
        <v>0</v>
      </c>
      <c r="T38" s="14">
        <v>0</v>
      </c>
      <c r="U38" s="14">
        <v>0</v>
      </c>
      <c r="V38" s="14">
        <v>0</v>
      </c>
      <c r="W38" s="77">
        <f t="shared" si="2"/>
        <v>12</v>
      </c>
      <c r="X38" s="37"/>
      <c r="Y38" s="38"/>
      <c r="AA38" s="75">
        <v>0</v>
      </c>
      <c r="AB38" s="76">
        <v>0</v>
      </c>
      <c r="AC38" s="76">
        <v>0</v>
      </c>
      <c r="AD38" s="76">
        <v>0</v>
      </c>
      <c r="AE38" s="76">
        <v>0</v>
      </c>
      <c r="AF38" s="77">
        <f t="shared" si="3"/>
        <v>12</v>
      </c>
      <c r="AG38" s="432"/>
      <c r="AH38" s="24">
        <v>0</v>
      </c>
      <c r="AI38" s="14">
        <v>0</v>
      </c>
      <c r="AJ38" s="14">
        <v>0</v>
      </c>
      <c r="AK38" s="14">
        <v>0</v>
      </c>
      <c r="AL38" s="14">
        <v>0</v>
      </c>
      <c r="AM38" s="77">
        <f t="shared" si="4"/>
        <v>12</v>
      </c>
      <c r="AN38" s="24">
        <v>0</v>
      </c>
      <c r="AO38" s="14">
        <v>0</v>
      </c>
      <c r="AP38" s="14">
        <v>0</v>
      </c>
      <c r="AQ38" s="14">
        <v>0</v>
      </c>
      <c r="AR38" s="14">
        <v>0</v>
      </c>
      <c r="AS38" s="77">
        <f t="shared" si="5"/>
        <v>12</v>
      </c>
      <c r="AT38" s="37"/>
      <c r="AU38" s="38"/>
    </row>
    <row r="39" spans="1:47" ht="18" customHeight="1">
      <c r="A39" s="65">
        <v>362</v>
      </c>
      <c r="B39" s="68" t="s">
        <v>187</v>
      </c>
      <c r="C39" s="33" t="s">
        <v>204</v>
      </c>
      <c r="D39" s="41"/>
      <c r="E39" s="75">
        <v>0</v>
      </c>
      <c r="F39" s="76">
        <v>0</v>
      </c>
      <c r="G39" s="76">
        <v>0</v>
      </c>
      <c r="H39" s="76">
        <v>0</v>
      </c>
      <c r="I39" s="76">
        <v>0</v>
      </c>
      <c r="J39" s="77">
        <f t="shared" si="0"/>
        <v>12</v>
      </c>
      <c r="K39" s="432"/>
      <c r="L39" s="24">
        <v>0</v>
      </c>
      <c r="M39" s="14">
        <v>0</v>
      </c>
      <c r="N39" s="14">
        <v>0</v>
      </c>
      <c r="O39" s="14">
        <v>0</v>
      </c>
      <c r="P39" s="14">
        <v>0</v>
      </c>
      <c r="Q39" s="77">
        <f t="shared" si="1"/>
        <v>12</v>
      </c>
      <c r="R39" s="24">
        <v>0</v>
      </c>
      <c r="S39" s="14">
        <v>0</v>
      </c>
      <c r="T39" s="14">
        <v>0</v>
      </c>
      <c r="U39" s="14">
        <v>0</v>
      </c>
      <c r="V39" s="14">
        <v>0</v>
      </c>
      <c r="W39" s="77">
        <f t="shared" si="2"/>
        <v>12</v>
      </c>
      <c r="X39" s="37"/>
      <c r="Y39" s="38"/>
      <c r="AA39" s="75">
        <v>0</v>
      </c>
      <c r="AB39" s="76">
        <v>0</v>
      </c>
      <c r="AC39" s="76">
        <v>0</v>
      </c>
      <c r="AD39" s="76">
        <v>0</v>
      </c>
      <c r="AE39" s="76">
        <v>0</v>
      </c>
      <c r="AF39" s="77">
        <f t="shared" si="3"/>
        <v>12</v>
      </c>
      <c r="AG39" s="432"/>
      <c r="AH39" s="24">
        <v>0</v>
      </c>
      <c r="AI39" s="14">
        <v>0</v>
      </c>
      <c r="AJ39" s="14">
        <v>0</v>
      </c>
      <c r="AK39" s="14">
        <v>0</v>
      </c>
      <c r="AL39" s="14">
        <v>0</v>
      </c>
      <c r="AM39" s="77">
        <f t="shared" si="4"/>
        <v>12</v>
      </c>
      <c r="AN39" s="24">
        <v>0</v>
      </c>
      <c r="AO39" s="14">
        <v>0</v>
      </c>
      <c r="AP39" s="14">
        <v>0</v>
      </c>
      <c r="AQ39" s="14">
        <v>0</v>
      </c>
      <c r="AR39" s="14">
        <v>0</v>
      </c>
      <c r="AS39" s="77">
        <f t="shared" si="5"/>
        <v>12</v>
      </c>
      <c r="AT39" s="37"/>
      <c r="AU39" s="38"/>
    </row>
    <row r="40" spans="1:47" ht="18" customHeight="1">
      <c r="A40" s="65">
        <v>364</v>
      </c>
      <c r="B40" s="68" t="s">
        <v>219</v>
      </c>
      <c r="C40" s="33"/>
      <c r="D40" s="41"/>
      <c r="E40" s="75">
        <v>0</v>
      </c>
      <c r="F40" s="76">
        <v>0</v>
      </c>
      <c r="G40" s="76">
        <v>0</v>
      </c>
      <c r="H40" s="76">
        <v>0</v>
      </c>
      <c r="I40" s="76">
        <v>0</v>
      </c>
      <c r="J40" s="77">
        <f t="shared" si="0"/>
        <v>12</v>
      </c>
      <c r="K40" s="432"/>
      <c r="L40" s="24">
        <v>0</v>
      </c>
      <c r="M40" s="14">
        <v>0</v>
      </c>
      <c r="N40" s="14">
        <v>0</v>
      </c>
      <c r="O40" s="14">
        <v>0</v>
      </c>
      <c r="P40" s="14">
        <v>0</v>
      </c>
      <c r="Q40" s="77">
        <f t="shared" si="1"/>
        <v>12</v>
      </c>
      <c r="R40" s="24">
        <v>0</v>
      </c>
      <c r="S40" s="14">
        <v>0</v>
      </c>
      <c r="T40" s="14">
        <v>0</v>
      </c>
      <c r="U40" s="14">
        <v>0</v>
      </c>
      <c r="V40" s="14">
        <v>0</v>
      </c>
      <c r="W40" s="77">
        <f t="shared" si="2"/>
        <v>12</v>
      </c>
      <c r="X40" s="37"/>
      <c r="Y40" s="38"/>
      <c r="AA40" s="75">
        <v>0</v>
      </c>
      <c r="AB40" s="76">
        <v>0</v>
      </c>
      <c r="AC40" s="76">
        <v>0</v>
      </c>
      <c r="AD40" s="76">
        <v>0</v>
      </c>
      <c r="AE40" s="76">
        <v>0</v>
      </c>
      <c r="AF40" s="77">
        <f t="shared" si="3"/>
        <v>12</v>
      </c>
      <c r="AG40" s="432"/>
      <c r="AH40" s="24">
        <v>0</v>
      </c>
      <c r="AI40" s="14">
        <v>0</v>
      </c>
      <c r="AJ40" s="14">
        <v>0</v>
      </c>
      <c r="AK40" s="14">
        <v>0</v>
      </c>
      <c r="AL40" s="14">
        <v>0</v>
      </c>
      <c r="AM40" s="77">
        <f t="shared" si="4"/>
        <v>12</v>
      </c>
      <c r="AN40" s="24">
        <v>0</v>
      </c>
      <c r="AO40" s="14">
        <v>0</v>
      </c>
      <c r="AP40" s="14">
        <v>0</v>
      </c>
      <c r="AQ40" s="14">
        <v>0</v>
      </c>
      <c r="AR40" s="14">
        <v>0</v>
      </c>
      <c r="AS40" s="77">
        <f t="shared" si="5"/>
        <v>12</v>
      </c>
      <c r="AT40" s="37"/>
      <c r="AU40" s="38"/>
    </row>
    <row r="41" spans="1:47" ht="18" customHeight="1">
      <c r="A41" s="65">
        <v>371</v>
      </c>
      <c r="B41" s="68" t="s">
        <v>192</v>
      </c>
      <c r="C41" s="33" t="s">
        <v>205</v>
      </c>
      <c r="D41" s="41"/>
      <c r="E41" s="75">
        <v>0</v>
      </c>
      <c r="F41" s="76">
        <v>0</v>
      </c>
      <c r="G41" s="76">
        <v>0</v>
      </c>
      <c r="H41" s="76">
        <v>0</v>
      </c>
      <c r="I41" s="76">
        <v>0</v>
      </c>
      <c r="J41" s="77">
        <f t="shared" si="0"/>
        <v>12</v>
      </c>
      <c r="K41" s="432"/>
      <c r="L41" s="24">
        <v>0</v>
      </c>
      <c r="M41" s="14">
        <v>0</v>
      </c>
      <c r="N41" s="14">
        <v>0</v>
      </c>
      <c r="O41" s="14">
        <v>0</v>
      </c>
      <c r="P41" s="14">
        <v>0</v>
      </c>
      <c r="Q41" s="77">
        <f t="shared" si="1"/>
        <v>12</v>
      </c>
      <c r="R41" s="24">
        <v>0</v>
      </c>
      <c r="S41" s="14">
        <v>0</v>
      </c>
      <c r="T41" s="14">
        <v>0</v>
      </c>
      <c r="U41" s="14">
        <v>0</v>
      </c>
      <c r="V41" s="14">
        <v>0</v>
      </c>
      <c r="W41" s="77">
        <f t="shared" si="2"/>
        <v>12</v>
      </c>
      <c r="X41" s="37"/>
      <c r="Y41" s="38"/>
      <c r="AA41" s="75">
        <v>0</v>
      </c>
      <c r="AB41" s="76">
        <v>0</v>
      </c>
      <c r="AC41" s="76">
        <v>0</v>
      </c>
      <c r="AD41" s="76">
        <v>0</v>
      </c>
      <c r="AE41" s="76">
        <v>0</v>
      </c>
      <c r="AF41" s="77">
        <f t="shared" si="3"/>
        <v>12</v>
      </c>
      <c r="AG41" s="432"/>
      <c r="AH41" s="24">
        <v>0</v>
      </c>
      <c r="AI41" s="14">
        <v>0</v>
      </c>
      <c r="AJ41" s="14">
        <v>0</v>
      </c>
      <c r="AK41" s="14">
        <v>0</v>
      </c>
      <c r="AL41" s="14">
        <v>0</v>
      </c>
      <c r="AM41" s="77">
        <f t="shared" si="4"/>
        <v>12</v>
      </c>
      <c r="AN41" s="24">
        <v>0</v>
      </c>
      <c r="AO41" s="14">
        <v>0</v>
      </c>
      <c r="AP41" s="14">
        <v>0</v>
      </c>
      <c r="AQ41" s="14">
        <v>0</v>
      </c>
      <c r="AR41" s="14">
        <v>0</v>
      </c>
      <c r="AS41" s="77">
        <f t="shared" si="5"/>
        <v>12</v>
      </c>
      <c r="AT41" s="37"/>
      <c r="AU41" s="38"/>
    </row>
    <row r="42" spans="1:47" ht="18" customHeight="1">
      <c r="A42" s="65">
        <v>372</v>
      </c>
      <c r="B42" s="68" t="s">
        <v>54</v>
      </c>
      <c r="C42" s="33" t="s">
        <v>55</v>
      </c>
      <c r="D42" s="41"/>
      <c r="E42" s="75">
        <v>0</v>
      </c>
      <c r="F42" s="76">
        <v>0</v>
      </c>
      <c r="G42" s="76">
        <v>0</v>
      </c>
      <c r="H42" s="76">
        <v>0</v>
      </c>
      <c r="I42" s="76">
        <v>0</v>
      </c>
      <c r="J42" s="77">
        <f t="shared" si="0"/>
        <v>12</v>
      </c>
      <c r="K42" s="432"/>
      <c r="L42" s="24">
        <v>0</v>
      </c>
      <c r="M42" s="14">
        <v>0</v>
      </c>
      <c r="N42" s="14">
        <v>0</v>
      </c>
      <c r="O42" s="14">
        <v>0</v>
      </c>
      <c r="P42" s="14">
        <v>0</v>
      </c>
      <c r="Q42" s="77">
        <f t="shared" si="1"/>
        <v>12</v>
      </c>
      <c r="R42" s="24">
        <v>0</v>
      </c>
      <c r="S42" s="14">
        <v>0</v>
      </c>
      <c r="T42" s="14">
        <v>0</v>
      </c>
      <c r="U42" s="14">
        <v>0</v>
      </c>
      <c r="V42" s="14">
        <v>0</v>
      </c>
      <c r="W42" s="77">
        <f t="shared" si="2"/>
        <v>12</v>
      </c>
      <c r="X42" s="37"/>
      <c r="Y42" s="38"/>
      <c r="AA42" s="75">
        <v>0</v>
      </c>
      <c r="AB42" s="76">
        <v>0</v>
      </c>
      <c r="AC42" s="76">
        <v>0</v>
      </c>
      <c r="AD42" s="76">
        <v>0</v>
      </c>
      <c r="AE42" s="76">
        <v>0</v>
      </c>
      <c r="AF42" s="77">
        <f t="shared" si="3"/>
        <v>12</v>
      </c>
      <c r="AG42" s="432"/>
      <c r="AH42" s="24">
        <v>0</v>
      </c>
      <c r="AI42" s="14">
        <v>0</v>
      </c>
      <c r="AJ42" s="14">
        <v>0</v>
      </c>
      <c r="AK42" s="14">
        <v>0</v>
      </c>
      <c r="AL42" s="14">
        <v>0</v>
      </c>
      <c r="AM42" s="77">
        <f t="shared" si="4"/>
        <v>12</v>
      </c>
      <c r="AN42" s="24">
        <v>0</v>
      </c>
      <c r="AO42" s="14">
        <v>0</v>
      </c>
      <c r="AP42" s="14">
        <v>0</v>
      </c>
      <c r="AQ42" s="14">
        <v>0</v>
      </c>
      <c r="AR42" s="14">
        <v>0</v>
      </c>
      <c r="AS42" s="77">
        <f t="shared" si="5"/>
        <v>12</v>
      </c>
      <c r="AT42" s="37"/>
      <c r="AU42" s="38"/>
    </row>
    <row r="43" spans="1:47" ht="18" customHeight="1">
      <c r="A43" s="65">
        <v>374</v>
      </c>
      <c r="B43" s="68" t="s">
        <v>56</v>
      </c>
      <c r="C43" s="33" t="s">
        <v>57</v>
      </c>
      <c r="D43" s="41"/>
      <c r="E43" s="75">
        <v>0</v>
      </c>
      <c r="F43" s="76">
        <v>0</v>
      </c>
      <c r="G43" s="76">
        <v>0</v>
      </c>
      <c r="H43" s="76">
        <v>0</v>
      </c>
      <c r="I43" s="76">
        <v>0</v>
      </c>
      <c r="J43" s="77">
        <f t="shared" si="0"/>
        <v>12</v>
      </c>
      <c r="K43" s="432"/>
      <c r="L43" s="24">
        <v>0</v>
      </c>
      <c r="M43" s="14">
        <v>0</v>
      </c>
      <c r="N43" s="14">
        <v>0</v>
      </c>
      <c r="O43" s="14">
        <v>0</v>
      </c>
      <c r="P43" s="14">
        <v>0</v>
      </c>
      <c r="Q43" s="77">
        <f t="shared" si="1"/>
        <v>12</v>
      </c>
      <c r="R43" s="24">
        <v>0</v>
      </c>
      <c r="S43" s="14">
        <v>0</v>
      </c>
      <c r="T43" s="14">
        <v>0</v>
      </c>
      <c r="U43" s="14">
        <v>0</v>
      </c>
      <c r="V43" s="14">
        <v>0</v>
      </c>
      <c r="W43" s="77">
        <f t="shared" si="2"/>
        <v>12</v>
      </c>
      <c r="X43" s="37"/>
      <c r="Y43" s="38"/>
      <c r="AA43" s="75">
        <v>0</v>
      </c>
      <c r="AB43" s="76">
        <v>0</v>
      </c>
      <c r="AC43" s="76">
        <v>0</v>
      </c>
      <c r="AD43" s="76">
        <v>0</v>
      </c>
      <c r="AE43" s="76">
        <v>0</v>
      </c>
      <c r="AF43" s="77">
        <f t="shared" si="3"/>
        <v>12</v>
      </c>
      <c r="AG43" s="432"/>
      <c r="AH43" s="24">
        <v>0</v>
      </c>
      <c r="AI43" s="14">
        <v>0</v>
      </c>
      <c r="AJ43" s="14">
        <v>0</v>
      </c>
      <c r="AK43" s="14">
        <v>0</v>
      </c>
      <c r="AL43" s="14">
        <v>0</v>
      </c>
      <c r="AM43" s="77">
        <f t="shared" si="4"/>
        <v>12</v>
      </c>
      <c r="AN43" s="24">
        <v>0</v>
      </c>
      <c r="AO43" s="14">
        <v>0</v>
      </c>
      <c r="AP43" s="14">
        <v>0</v>
      </c>
      <c r="AQ43" s="14">
        <v>0</v>
      </c>
      <c r="AR43" s="14">
        <v>0</v>
      </c>
      <c r="AS43" s="77">
        <f t="shared" si="5"/>
        <v>12</v>
      </c>
      <c r="AT43" s="37"/>
      <c r="AU43" s="38"/>
    </row>
    <row r="44" spans="1:47" ht="16.5" customHeight="1">
      <c r="A44" s="65">
        <v>375</v>
      </c>
      <c r="B44" s="68" t="s">
        <v>58</v>
      </c>
      <c r="C44" s="33" t="s">
        <v>59</v>
      </c>
      <c r="D44" s="41"/>
      <c r="E44" s="75">
        <v>0</v>
      </c>
      <c r="F44" s="76">
        <v>0</v>
      </c>
      <c r="G44" s="76">
        <v>0</v>
      </c>
      <c r="H44" s="76">
        <v>0</v>
      </c>
      <c r="I44" s="76">
        <v>0</v>
      </c>
      <c r="J44" s="77">
        <f t="shared" si="0"/>
        <v>12</v>
      </c>
      <c r="K44" s="432"/>
      <c r="L44" s="24">
        <v>0</v>
      </c>
      <c r="M44" s="14">
        <v>0</v>
      </c>
      <c r="N44" s="14">
        <v>0</v>
      </c>
      <c r="O44" s="14">
        <v>0</v>
      </c>
      <c r="P44" s="14">
        <v>0</v>
      </c>
      <c r="Q44" s="77">
        <f t="shared" si="1"/>
        <v>12</v>
      </c>
      <c r="R44" s="24">
        <v>0</v>
      </c>
      <c r="S44" s="14">
        <v>0</v>
      </c>
      <c r="T44" s="14">
        <v>0</v>
      </c>
      <c r="U44" s="14">
        <v>0</v>
      </c>
      <c r="V44" s="14">
        <v>0</v>
      </c>
      <c r="W44" s="77">
        <f t="shared" si="2"/>
        <v>12</v>
      </c>
      <c r="X44" s="37"/>
      <c r="Y44" s="38"/>
      <c r="AA44" s="75">
        <v>0</v>
      </c>
      <c r="AB44" s="76">
        <v>0</v>
      </c>
      <c r="AC44" s="76">
        <v>0</v>
      </c>
      <c r="AD44" s="76">
        <v>0</v>
      </c>
      <c r="AE44" s="76">
        <v>0</v>
      </c>
      <c r="AF44" s="77">
        <f t="shared" si="3"/>
        <v>12</v>
      </c>
      <c r="AG44" s="432"/>
      <c r="AH44" s="24">
        <v>0</v>
      </c>
      <c r="AI44" s="14">
        <v>0</v>
      </c>
      <c r="AJ44" s="14">
        <v>0</v>
      </c>
      <c r="AK44" s="14">
        <v>0</v>
      </c>
      <c r="AL44" s="14">
        <v>0</v>
      </c>
      <c r="AM44" s="77">
        <f t="shared" si="4"/>
        <v>12</v>
      </c>
      <c r="AN44" s="24">
        <v>0</v>
      </c>
      <c r="AO44" s="14">
        <v>0</v>
      </c>
      <c r="AP44" s="14">
        <v>0</v>
      </c>
      <c r="AQ44" s="14">
        <v>0</v>
      </c>
      <c r="AR44" s="14">
        <v>0</v>
      </c>
      <c r="AS44" s="77">
        <f t="shared" si="5"/>
        <v>12</v>
      </c>
      <c r="AT44" s="37"/>
      <c r="AU44" s="38"/>
    </row>
    <row r="45" spans="1:47" ht="16.5" customHeight="1">
      <c r="A45" s="65">
        <v>376</v>
      </c>
      <c r="B45" s="68" t="s">
        <v>105</v>
      </c>
      <c r="C45" s="33" t="s">
        <v>207</v>
      </c>
      <c r="D45" s="42"/>
      <c r="E45" s="145">
        <v>0</v>
      </c>
      <c r="F45" s="158">
        <v>0</v>
      </c>
      <c r="G45" s="158">
        <v>0</v>
      </c>
      <c r="H45" s="158">
        <v>0</v>
      </c>
      <c r="I45" s="158">
        <v>0</v>
      </c>
      <c r="J45" s="247">
        <f t="shared" si="0"/>
        <v>12</v>
      </c>
      <c r="K45" s="432"/>
      <c r="L45" s="159">
        <v>0</v>
      </c>
      <c r="M45" s="140">
        <v>0</v>
      </c>
      <c r="N45" s="140">
        <v>0</v>
      </c>
      <c r="O45" s="140">
        <v>0</v>
      </c>
      <c r="P45" s="140">
        <v>0</v>
      </c>
      <c r="Q45" s="247">
        <f t="shared" si="1"/>
        <v>12</v>
      </c>
      <c r="R45" s="159">
        <v>0</v>
      </c>
      <c r="S45" s="140">
        <v>0</v>
      </c>
      <c r="T45" s="140">
        <v>0</v>
      </c>
      <c r="U45" s="140">
        <v>0</v>
      </c>
      <c r="V45" s="140">
        <v>0</v>
      </c>
      <c r="W45" s="247">
        <f t="shared" si="2"/>
        <v>12</v>
      </c>
      <c r="X45" s="37"/>
      <c r="Y45" s="38"/>
      <c r="AA45" s="145">
        <v>0</v>
      </c>
      <c r="AB45" s="158">
        <v>0</v>
      </c>
      <c r="AC45" s="158">
        <v>0</v>
      </c>
      <c r="AD45" s="158">
        <v>0</v>
      </c>
      <c r="AE45" s="158">
        <v>0</v>
      </c>
      <c r="AF45" s="247">
        <f t="shared" si="3"/>
        <v>12</v>
      </c>
      <c r="AG45" s="432"/>
      <c r="AH45" s="159">
        <v>0</v>
      </c>
      <c r="AI45" s="140">
        <v>0</v>
      </c>
      <c r="AJ45" s="140">
        <v>0</v>
      </c>
      <c r="AK45" s="140">
        <v>0</v>
      </c>
      <c r="AL45" s="140">
        <v>0</v>
      </c>
      <c r="AM45" s="247">
        <f t="shared" si="4"/>
        <v>12</v>
      </c>
      <c r="AN45" s="159">
        <v>0</v>
      </c>
      <c r="AO45" s="140">
        <v>0</v>
      </c>
      <c r="AP45" s="140">
        <v>0</v>
      </c>
      <c r="AQ45" s="140">
        <v>0</v>
      </c>
      <c r="AR45" s="140">
        <v>0</v>
      </c>
      <c r="AS45" s="247">
        <f t="shared" si="5"/>
        <v>12</v>
      </c>
      <c r="AT45" s="37"/>
      <c r="AU45" s="38"/>
    </row>
    <row r="46" spans="1:47" ht="16.5" customHeight="1">
      <c r="A46" s="66">
        <v>377</v>
      </c>
      <c r="B46" s="69" t="s">
        <v>163</v>
      </c>
      <c r="C46" s="33" t="s">
        <v>104</v>
      </c>
      <c r="D46" s="42"/>
      <c r="E46" s="75">
        <v>0</v>
      </c>
      <c r="F46" s="76">
        <v>0</v>
      </c>
      <c r="G46" s="76">
        <v>0</v>
      </c>
      <c r="H46" s="76">
        <v>0</v>
      </c>
      <c r="I46" s="76">
        <v>0</v>
      </c>
      <c r="J46" s="77">
        <f t="shared" si="0"/>
        <v>12</v>
      </c>
      <c r="K46" s="432"/>
      <c r="L46" s="24">
        <v>0</v>
      </c>
      <c r="M46" s="14">
        <v>0</v>
      </c>
      <c r="N46" s="14">
        <v>0</v>
      </c>
      <c r="O46" s="14">
        <v>0</v>
      </c>
      <c r="P46" s="14">
        <v>0</v>
      </c>
      <c r="Q46" s="77">
        <f t="shared" si="1"/>
        <v>12</v>
      </c>
      <c r="R46" s="24">
        <v>0</v>
      </c>
      <c r="S46" s="14">
        <v>0</v>
      </c>
      <c r="T46" s="14">
        <v>0</v>
      </c>
      <c r="U46" s="14">
        <v>0</v>
      </c>
      <c r="V46" s="14">
        <v>0</v>
      </c>
      <c r="W46" s="77">
        <f t="shared" si="2"/>
        <v>12</v>
      </c>
      <c r="X46" s="37"/>
      <c r="Y46" s="38"/>
      <c r="AA46" s="75">
        <v>0</v>
      </c>
      <c r="AB46" s="76">
        <v>0</v>
      </c>
      <c r="AC46" s="76">
        <v>0</v>
      </c>
      <c r="AD46" s="76">
        <v>0</v>
      </c>
      <c r="AE46" s="76">
        <v>0</v>
      </c>
      <c r="AF46" s="77">
        <f t="shared" si="3"/>
        <v>12</v>
      </c>
      <c r="AG46" s="432"/>
      <c r="AH46" s="24">
        <v>0</v>
      </c>
      <c r="AI46" s="14">
        <v>0</v>
      </c>
      <c r="AJ46" s="14">
        <v>0</v>
      </c>
      <c r="AK46" s="14">
        <v>0</v>
      </c>
      <c r="AL46" s="14">
        <v>0</v>
      </c>
      <c r="AM46" s="77">
        <f t="shared" si="4"/>
        <v>12</v>
      </c>
      <c r="AN46" s="24">
        <v>0</v>
      </c>
      <c r="AO46" s="14">
        <v>0</v>
      </c>
      <c r="AP46" s="14">
        <v>0</v>
      </c>
      <c r="AQ46" s="14">
        <v>0</v>
      </c>
      <c r="AR46" s="14">
        <v>0</v>
      </c>
      <c r="AS46" s="77">
        <f t="shared" si="5"/>
        <v>12</v>
      </c>
      <c r="AT46" s="37"/>
      <c r="AU46" s="38"/>
    </row>
    <row r="47" spans="1:47" ht="16.5" customHeight="1" thickBot="1">
      <c r="A47" s="67">
        <v>378</v>
      </c>
      <c r="B47" s="70" t="s">
        <v>189</v>
      </c>
      <c r="C47" s="33" t="s">
        <v>208</v>
      </c>
      <c r="D47" s="42"/>
      <c r="E47" s="75">
        <v>0</v>
      </c>
      <c r="F47" s="76">
        <v>0</v>
      </c>
      <c r="G47" s="76">
        <v>0</v>
      </c>
      <c r="H47" s="76">
        <v>0</v>
      </c>
      <c r="I47" s="76">
        <v>0</v>
      </c>
      <c r="J47" s="77">
        <f t="shared" si="0"/>
        <v>12</v>
      </c>
      <c r="K47" s="432"/>
      <c r="L47" s="47">
        <v>0</v>
      </c>
      <c r="M47" s="48">
        <v>0</v>
      </c>
      <c r="N47" s="48">
        <v>0</v>
      </c>
      <c r="O47" s="48">
        <v>0</v>
      </c>
      <c r="P47" s="48">
        <v>0</v>
      </c>
      <c r="Q47" s="77">
        <f t="shared" si="1"/>
        <v>12</v>
      </c>
      <c r="R47" s="47">
        <v>0</v>
      </c>
      <c r="S47" s="48">
        <v>0</v>
      </c>
      <c r="T47" s="48">
        <v>0</v>
      </c>
      <c r="U47" s="48">
        <v>0</v>
      </c>
      <c r="V47" s="48">
        <v>0</v>
      </c>
      <c r="W47" s="77">
        <f t="shared" si="2"/>
        <v>12</v>
      </c>
      <c r="X47" s="37"/>
      <c r="Y47" s="38"/>
      <c r="AA47" s="75">
        <v>0</v>
      </c>
      <c r="AB47" s="76">
        <v>0</v>
      </c>
      <c r="AC47" s="76">
        <v>0</v>
      </c>
      <c r="AD47" s="76">
        <v>0</v>
      </c>
      <c r="AE47" s="76">
        <v>0</v>
      </c>
      <c r="AF47" s="77">
        <f t="shared" si="3"/>
        <v>12</v>
      </c>
      <c r="AG47" s="432"/>
      <c r="AH47" s="47">
        <v>0</v>
      </c>
      <c r="AI47" s="48">
        <v>0</v>
      </c>
      <c r="AJ47" s="48">
        <v>0</v>
      </c>
      <c r="AK47" s="48">
        <v>0</v>
      </c>
      <c r="AL47" s="48">
        <v>0</v>
      </c>
      <c r="AM47" s="77">
        <f t="shared" si="4"/>
        <v>12</v>
      </c>
      <c r="AN47" s="47">
        <v>0</v>
      </c>
      <c r="AO47" s="48">
        <v>0</v>
      </c>
      <c r="AP47" s="48">
        <v>0</v>
      </c>
      <c r="AQ47" s="48">
        <v>0</v>
      </c>
      <c r="AR47" s="48">
        <v>0</v>
      </c>
      <c r="AS47" s="77">
        <f t="shared" si="5"/>
        <v>12</v>
      </c>
      <c r="AT47" s="37"/>
      <c r="AU47" s="38"/>
    </row>
    <row r="48" spans="1:47" ht="16.5" customHeight="1" thickBot="1">
      <c r="A48" s="67">
        <v>381</v>
      </c>
      <c r="B48" s="70" t="s">
        <v>60</v>
      </c>
      <c r="C48" s="34" t="s">
        <v>61</v>
      </c>
      <c r="D48" s="42"/>
      <c r="E48" s="75">
        <v>0</v>
      </c>
      <c r="F48" s="76">
        <v>0</v>
      </c>
      <c r="G48" s="76">
        <v>0</v>
      </c>
      <c r="H48" s="76">
        <v>0</v>
      </c>
      <c r="I48" s="76">
        <v>0</v>
      </c>
      <c r="J48" s="77">
        <f t="shared" si="0"/>
        <v>12</v>
      </c>
      <c r="K48" s="432"/>
      <c r="L48" s="47">
        <v>0</v>
      </c>
      <c r="M48" s="48">
        <v>0</v>
      </c>
      <c r="N48" s="48">
        <v>0</v>
      </c>
      <c r="O48" s="48">
        <v>0</v>
      </c>
      <c r="P48" s="48">
        <v>0</v>
      </c>
      <c r="Q48" s="77">
        <f t="shared" si="1"/>
        <v>12</v>
      </c>
      <c r="R48" s="47">
        <v>0</v>
      </c>
      <c r="S48" s="48">
        <v>0</v>
      </c>
      <c r="T48" s="48">
        <v>0</v>
      </c>
      <c r="U48" s="48">
        <v>0</v>
      </c>
      <c r="V48" s="48">
        <v>0</v>
      </c>
      <c r="W48" s="77">
        <f t="shared" si="2"/>
        <v>12</v>
      </c>
      <c r="X48" s="37"/>
      <c r="Y48" s="38"/>
      <c r="AA48" s="75">
        <v>0</v>
      </c>
      <c r="AB48" s="76">
        <v>0</v>
      </c>
      <c r="AC48" s="76">
        <v>0</v>
      </c>
      <c r="AD48" s="76">
        <v>0</v>
      </c>
      <c r="AE48" s="76">
        <v>0</v>
      </c>
      <c r="AF48" s="77">
        <f t="shared" si="3"/>
        <v>12</v>
      </c>
      <c r="AG48" s="432"/>
      <c r="AH48" s="47">
        <v>0</v>
      </c>
      <c r="AI48" s="48">
        <v>0</v>
      </c>
      <c r="AJ48" s="48">
        <v>0</v>
      </c>
      <c r="AK48" s="48">
        <v>0</v>
      </c>
      <c r="AL48" s="48">
        <v>0</v>
      </c>
      <c r="AM48" s="77">
        <f t="shared" si="4"/>
        <v>12</v>
      </c>
      <c r="AN48" s="47">
        <v>0</v>
      </c>
      <c r="AO48" s="48">
        <v>0</v>
      </c>
      <c r="AP48" s="48">
        <v>0</v>
      </c>
      <c r="AQ48" s="48">
        <v>0</v>
      </c>
      <c r="AR48" s="48">
        <v>0</v>
      </c>
      <c r="AS48" s="77">
        <f t="shared" si="5"/>
        <v>12</v>
      </c>
      <c r="AT48" s="37"/>
      <c r="AU48" s="38"/>
    </row>
    <row r="49" spans="1:47" ht="15" thickBot="1">
      <c r="A49" s="342" t="s">
        <v>164</v>
      </c>
      <c r="B49" s="343"/>
      <c r="C49" s="46"/>
      <c r="D49" s="43"/>
      <c r="E49" s="179"/>
      <c r="F49" s="176"/>
      <c r="G49" s="176"/>
      <c r="H49" s="176"/>
      <c r="I49" s="176"/>
      <c r="J49" s="51"/>
      <c r="K49" s="432"/>
      <c r="L49" s="49"/>
      <c r="M49" s="50"/>
      <c r="N49" s="50"/>
      <c r="O49" s="50"/>
      <c r="P49" s="50"/>
      <c r="Q49" s="51"/>
      <c r="R49" s="49"/>
      <c r="S49" s="50"/>
      <c r="T49" s="50"/>
      <c r="U49" s="50"/>
      <c r="V49" s="50"/>
      <c r="W49" s="51"/>
      <c r="X49" s="37"/>
      <c r="Y49" s="38"/>
      <c r="AA49" s="179"/>
      <c r="AB49" s="176"/>
      <c r="AC49" s="176"/>
      <c r="AD49" s="176"/>
      <c r="AE49" s="176"/>
      <c r="AF49" s="51"/>
      <c r="AG49" s="432"/>
      <c r="AH49" s="49"/>
      <c r="AI49" s="50"/>
      <c r="AJ49" s="50"/>
      <c r="AK49" s="50"/>
      <c r="AL49" s="50"/>
      <c r="AM49" s="51"/>
      <c r="AN49" s="49"/>
      <c r="AO49" s="50"/>
      <c r="AP49" s="50"/>
      <c r="AQ49" s="50"/>
      <c r="AR49" s="50"/>
      <c r="AS49" s="51"/>
      <c r="AT49" s="37"/>
      <c r="AU49" s="38"/>
    </row>
    <row r="50" spans="1:47" ht="14">
      <c r="A50" s="344"/>
      <c r="B50" s="345"/>
      <c r="C50" s="35" t="s">
        <v>62</v>
      </c>
      <c r="D50" s="43"/>
      <c r="E50" s="20">
        <f>SUM(E5:E48)</f>
        <v>23434893916</v>
      </c>
      <c r="F50" s="10">
        <f t="shared" ref="F50:H50" si="6">SUM(F5:F48)</f>
        <v>140555109</v>
      </c>
      <c r="G50" s="10">
        <f t="shared" si="6"/>
        <v>23294338807</v>
      </c>
      <c r="H50" s="10">
        <f t="shared" si="6"/>
        <v>50898.19</v>
      </c>
      <c r="I50" s="10">
        <f>IF(H50=0,0,ROUND(G50/H50/12,0))</f>
        <v>38139</v>
      </c>
      <c r="J50" s="11" t="s">
        <v>63</v>
      </c>
      <c r="K50" s="188"/>
      <c r="L50" s="20">
        <f>SUM(L5:L48)</f>
        <v>24875105127</v>
      </c>
      <c r="M50" s="10">
        <f t="shared" ref="M50:O50" si="7">SUM(M5:M48)</f>
        <v>334242406</v>
      </c>
      <c r="N50" s="10">
        <f t="shared" si="7"/>
        <v>24540862721</v>
      </c>
      <c r="O50" s="10">
        <f t="shared" si="7"/>
        <v>49973.11</v>
      </c>
      <c r="P50" s="10">
        <f>IF(O50=0,0,ROUND(N50/O50/12,0))</f>
        <v>40923</v>
      </c>
      <c r="Q50" s="11" t="s">
        <v>63</v>
      </c>
      <c r="R50" s="20">
        <f>SUM(R5:R48)</f>
        <v>24888370134.75</v>
      </c>
      <c r="S50" s="10">
        <f t="shared" ref="S50:U50" si="8">SUM(S5:S48)</f>
        <v>350099183</v>
      </c>
      <c r="T50" s="10">
        <f t="shared" si="8"/>
        <v>24538270951.75</v>
      </c>
      <c r="U50" s="10">
        <f t="shared" si="8"/>
        <v>47614.44</v>
      </c>
      <c r="V50" s="10">
        <f>IF(U50=0,0,ROUND(T50/U50/12,0))</f>
        <v>42946</v>
      </c>
      <c r="W50" s="11" t="s">
        <v>63</v>
      </c>
      <c r="X50" s="53"/>
      <c r="Y50" s="52"/>
      <c r="AA50" s="20">
        <f>SUM(AA6:AA48)</f>
        <v>25118475714</v>
      </c>
      <c r="AB50" s="10">
        <f t="shared" ref="AB50:AD50" si="9">SUM(AB6:AB48)</f>
        <v>161633486</v>
      </c>
      <c r="AC50" s="10">
        <f t="shared" si="9"/>
        <v>24956842228</v>
      </c>
      <c r="AD50" s="10">
        <f t="shared" si="9"/>
        <v>50159.42</v>
      </c>
      <c r="AE50" s="10">
        <f>IF(AD50=0,0,ROUND(AC50/AD50/12,0))</f>
        <v>41463</v>
      </c>
      <c r="AF50" s="11" t="s">
        <v>63</v>
      </c>
      <c r="AG50" s="188"/>
      <c r="AH50" s="20">
        <f>SUM(AH6:AH48)</f>
        <v>25740898536</v>
      </c>
      <c r="AI50" s="10">
        <f>SUM(AI6:AI48)</f>
        <v>191904850</v>
      </c>
      <c r="AJ50" s="10">
        <f>SUM(AJ6:AJ48)</f>
        <v>25548993686</v>
      </c>
      <c r="AK50" s="10">
        <f>SUM(AK6:AK48)</f>
        <v>49782.2</v>
      </c>
      <c r="AL50" s="10">
        <f>IF(AK50=0,0,ROUND(AJ50/AK50/12,0))</f>
        <v>42768</v>
      </c>
      <c r="AM50" s="11" t="s">
        <v>63</v>
      </c>
      <c r="AN50" s="20">
        <f>SUM(AN6:AN48)</f>
        <v>25871024330.860001</v>
      </c>
      <c r="AO50" s="10">
        <f>SUM(AO6:AO48)</f>
        <v>202139322</v>
      </c>
      <c r="AP50" s="10">
        <f>SUM(AP6:AP48)</f>
        <v>25668885008.860001</v>
      </c>
      <c r="AQ50" s="10">
        <f>SUM(AQ6:AQ48)</f>
        <v>47010.37999999999</v>
      </c>
      <c r="AR50" s="10">
        <f>IF(AQ50=0,0,ROUND(AP50/AQ50/12,0))</f>
        <v>45502</v>
      </c>
      <c r="AS50" s="11" t="s">
        <v>63</v>
      </c>
      <c r="AT50" s="53"/>
      <c r="AU50" s="52"/>
    </row>
    <row r="51" spans="1:47" ht="21" customHeight="1" thickBot="1">
      <c r="A51" s="346"/>
      <c r="B51" s="347"/>
      <c r="C51" s="36"/>
      <c r="D51" s="44"/>
      <c r="E51" s="183"/>
      <c r="F51" s="182"/>
      <c r="G51" s="182"/>
      <c r="H51" s="182"/>
      <c r="I51" s="182"/>
      <c r="J51" s="23"/>
      <c r="K51" s="433"/>
      <c r="L51" s="21"/>
      <c r="M51" s="22"/>
      <c r="N51" s="22"/>
      <c r="O51" s="22"/>
      <c r="P51" s="22"/>
      <c r="Q51" s="23"/>
      <c r="R51" s="21"/>
      <c r="S51" s="22"/>
      <c r="T51" s="22"/>
      <c r="U51" s="22"/>
      <c r="V51" s="22"/>
      <c r="W51" s="23"/>
      <c r="X51" s="40"/>
      <c r="Y51" s="25"/>
      <c r="AA51" s="183"/>
      <c r="AB51" s="182"/>
      <c r="AC51" s="182"/>
      <c r="AD51" s="182"/>
      <c r="AE51" s="182"/>
      <c r="AF51" s="23"/>
      <c r="AG51" s="433"/>
      <c r="AH51" s="21"/>
      <c r="AI51" s="22"/>
      <c r="AJ51" s="22"/>
      <c r="AK51" s="22"/>
      <c r="AL51" s="22"/>
      <c r="AM51" s="23"/>
      <c r="AN51" s="21"/>
      <c r="AO51" s="22"/>
      <c r="AP51" s="22"/>
      <c r="AQ51" s="22"/>
      <c r="AR51" s="22"/>
      <c r="AS51" s="23"/>
      <c r="AT51" s="40"/>
      <c r="AU51" s="25"/>
    </row>
    <row r="52" spans="1:47" ht="14" thickBot="1">
      <c r="K52" s="189"/>
      <c r="X52" s="21"/>
      <c r="Y52" s="23"/>
      <c r="AG52" s="189"/>
      <c r="AT52" s="21"/>
      <c r="AU52" s="23"/>
    </row>
    <row r="53" spans="1:47">
      <c r="A53" s="9"/>
      <c r="B53" s="9"/>
      <c r="C53" s="16"/>
      <c r="D53" s="16"/>
      <c r="E53" s="9" t="b">
        <f>E50=SUMAR!E7</f>
        <v>1</v>
      </c>
      <c r="F53" s="9" t="b">
        <f>F50=SUMAR!F7</f>
        <v>1</v>
      </c>
      <c r="G53" s="9" t="b">
        <f>G50=SUMAR!G7</f>
        <v>1</v>
      </c>
      <c r="H53" s="9" t="b">
        <f>H50=SUMAR!H7</f>
        <v>1</v>
      </c>
      <c r="I53" s="9" t="b">
        <f>ROUND(I50,0)=ROUND(SUMAR!I7,0)</f>
        <v>1</v>
      </c>
      <c r="J53" s="9"/>
      <c r="L53" s="60" t="b">
        <f>L50=SUMAR!L7</f>
        <v>1</v>
      </c>
      <c r="M53" s="60" t="b">
        <f>M50=SUMAR!M7</f>
        <v>1</v>
      </c>
      <c r="N53" s="60" t="b">
        <f>N50=SUMAR!N7</f>
        <v>1</v>
      </c>
      <c r="O53" s="60" t="b">
        <f>O50=SUMAR!O7</f>
        <v>1</v>
      </c>
      <c r="P53" s="60" t="b">
        <f>ROUND(P50,0)=SUMAR!P7</f>
        <v>1</v>
      </c>
      <c r="Q53" s="9"/>
      <c r="R53" s="9" t="b">
        <f>R50=SUMAR!R7</f>
        <v>1</v>
      </c>
      <c r="S53" s="9" t="b">
        <f>S50=SUMAR!S7</f>
        <v>1</v>
      </c>
      <c r="T53" s="9" t="b">
        <f>T50=SUMAR!T7</f>
        <v>1</v>
      </c>
      <c r="U53" s="9" t="b">
        <f>U50=SUMAR!U7</f>
        <v>1</v>
      </c>
      <c r="V53" s="9" t="b">
        <f>ROUND(V50,0)=ROUND(SUMAR!V7,0)</f>
        <v>1</v>
      </c>
      <c r="W53" s="9"/>
      <c r="AA53" s="9" t="b">
        <f>AA50=SUMAR!AA7</f>
        <v>1</v>
      </c>
      <c r="AB53" s="9" t="b">
        <f>AB50=SUMAR!AB7</f>
        <v>1</v>
      </c>
      <c r="AC53" s="9" t="b">
        <f>AC50=SUMAR!AC7</f>
        <v>1</v>
      </c>
      <c r="AD53" s="9" t="b">
        <f>AD50=SUMAR!AD7</f>
        <v>1</v>
      </c>
      <c r="AE53" s="9" t="b">
        <f>ROUND(AE50,0)=ROUND(SUMAR!AE7,0)</f>
        <v>1</v>
      </c>
      <c r="AF53" s="9"/>
      <c r="AH53" s="9" t="b">
        <f>AH50=SUMAR!AH7</f>
        <v>1</v>
      </c>
      <c r="AI53" s="9" t="b">
        <f>AI50=SUMAR!AI7</f>
        <v>1</v>
      </c>
      <c r="AJ53" s="9" t="b">
        <f>AJ50=SUMAR!AJ7</f>
        <v>1</v>
      </c>
      <c r="AK53" s="9" t="b">
        <f>AK50=SUMAR!AK7</f>
        <v>1</v>
      </c>
      <c r="AL53" s="9" t="b">
        <f>ROUND(AL50,0)=ROUND(SUMAR!AL7,0)</f>
        <v>1</v>
      </c>
      <c r="AM53" s="9"/>
      <c r="AN53" s="9" t="b">
        <f>AN50=SUMAR!AN7</f>
        <v>1</v>
      </c>
      <c r="AO53" s="9" t="b">
        <f>AO50=SUMAR!AO7</f>
        <v>1</v>
      </c>
      <c r="AP53" s="9" t="b">
        <f>AP50=SUMAR!AP7</f>
        <v>1</v>
      </c>
      <c r="AQ53" s="9" t="b">
        <f>AQ50=SUMAR!AQ7</f>
        <v>1</v>
      </c>
      <c r="AR53" s="9" t="b">
        <f>ROUND(AR50,0)=ROUND(SUMAR!AR7,0)</f>
        <v>1</v>
      </c>
      <c r="AS53" s="9"/>
    </row>
    <row r="54" spans="1:47">
      <c r="E54" s="7"/>
      <c r="F54" s="173"/>
      <c r="G54" s="173"/>
      <c r="H54" s="173"/>
      <c r="I54" s="7"/>
      <c r="K54" s="9"/>
      <c r="X54" s="9"/>
      <c r="Y54" s="9"/>
      <c r="AG54" s="9"/>
      <c r="AT54" s="9"/>
      <c r="AU54" s="9"/>
    </row>
    <row r="55" spans="1:47">
      <c r="E55" s="9"/>
      <c r="F55" s="173"/>
      <c r="I55" s="9"/>
      <c r="J55" s="9"/>
      <c r="L55" s="60"/>
      <c r="M55" s="60"/>
      <c r="N55" s="60"/>
      <c r="O55" s="60"/>
      <c r="P55" s="60"/>
      <c r="Q55" s="9"/>
      <c r="R55" s="9"/>
      <c r="S55" s="9"/>
      <c r="T55" s="9"/>
      <c r="U55" s="9"/>
      <c r="V55" s="9"/>
      <c r="W55" s="9"/>
    </row>
    <row r="56" spans="1:47">
      <c r="E56" s="7"/>
      <c r="F56" s="173"/>
      <c r="H56" s="173"/>
      <c r="I56" s="7"/>
      <c r="K56" s="9"/>
      <c r="X56" s="9"/>
      <c r="Y56" s="9"/>
      <c r="AG56" s="9"/>
      <c r="AT56" s="9"/>
      <c r="AU56" s="9"/>
    </row>
    <row r="57" spans="1:47">
      <c r="E57" s="9"/>
      <c r="F57" s="173"/>
      <c r="I57" s="9"/>
      <c r="J57" s="9"/>
      <c r="L57" s="60"/>
      <c r="M57" s="60"/>
      <c r="N57" s="60"/>
      <c r="O57" s="60"/>
      <c r="P57" s="60"/>
      <c r="Q57" s="9"/>
      <c r="R57" s="9"/>
      <c r="S57" s="9"/>
      <c r="T57" s="9"/>
      <c r="U57" s="9"/>
      <c r="V57" s="9"/>
      <c r="W57" s="9"/>
    </row>
    <row r="58" spans="1:47">
      <c r="E58" s="7"/>
      <c r="F58" s="173"/>
      <c r="H58" s="173"/>
      <c r="I58" s="7"/>
      <c r="K58" s="9"/>
      <c r="X58" s="9"/>
      <c r="Y58" s="9"/>
      <c r="AG58" s="9"/>
      <c r="AT58" s="9"/>
      <c r="AU58" s="9"/>
    </row>
    <row r="59" spans="1:47">
      <c r="F59" s="173"/>
    </row>
    <row r="60" spans="1:47">
      <c r="F60" s="173"/>
    </row>
    <row r="61" spans="1:47">
      <c r="F61" s="173"/>
    </row>
    <row r="62" spans="1:47">
      <c r="F62" s="173"/>
    </row>
    <row r="63" spans="1:47">
      <c r="F63" s="173"/>
    </row>
    <row r="64" spans="1:47">
      <c r="F64" s="173"/>
    </row>
    <row r="65" spans="6:6">
      <c r="F65" s="173"/>
    </row>
    <row r="66" spans="6:6">
      <c r="F66" s="173"/>
    </row>
    <row r="67" spans="6:6">
      <c r="F67" s="173"/>
    </row>
    <row r="68" spans="6:6">
      <c r="F68" s="173"/>
    </row>
    <row r="69" spans="6:6">
      <c r="F69" s="173"/>
    </row>
    <row r="70" spans="6:6">
      <c r="F70" s="173"/>
    </row>
    <row r="71" spans="6:6">
      <c r="F71" s="173"/>
    </row>
    <row r="72" spans="6:6">
      <c r="F72" s="173"/>
    </row>
    <row r="73" spans="6:6">
      <c r="F73" s="173"/>
    </row>
    <row r="74" spans="6:6">
      <c r="F74" s="173"/>
    </row>
    <row r="75" spans="6:6">
      <c r="F75" s="173"/>
    </row>
    <row r="76" spans="6:6">
      <c r="F76" s="173"/>
    </row>
    <row r="77" spans="6:6">
      <c r="F77" s="173"/>
    </row>
    <row r="78" spans="6:6">
      <c r="F78" s="173"/>
    </row>
    <row r="79" spans="6:6">
      <c r="F79" s="173"/>
    </row>
    <row r="80" spans="6:6">
      <c r="F80" s="173"/>
    </row>
    <row r="81" spans="5:7">
      <c r="F81" s="173"/>
    </row>
    <row r="82" spans="5:7">
      <c r="F82" s="173"/>
    </row>
    <row r="83" spans="5:7">
      <c r="F83" s="173"/>
    </row>
    <row r="84" spans="5:7">
      <c r="F84" s="173"/>
    </row>
    <row r="85" spans="5:7">
      <c r="F85" s="173"/>
    </row>
    <row r="86" spans="5:7">
      <c r="F86" s="173"/>
    </row>
    <row r="87" spans="5:7">
      <c r="F87" s="173"/>
    </row>
    <row r="88" spans="5:7">
      <c r="F88" s="173"/>
    </row>
    <row r="89" spans="5:7">
      <c r="F89" s="173"/>
    </row>
    <row r="90" spans="5:7">
      <c r="F90" s="173"/>
    </row>
    <row r="91" spans="5:7">
      <c r="F91" s="173"/>
    </row>
    <row r="92" spans="5:7">
      <c r="F92" s="173"/>
    </row>
    <row r="93" spans="5:7">
      <c r="F93" s="173"/>
    </row>
    <row r="94" spans="5:7">
      <c r="F94" s="173"/>
    </row>
    <row r="95" spans="5:7">
      <c r="F95" s="173"/>
    </row>
    <row r="96" spans="5:7">
      <c r="E96" s="6" t="s">
        <v>199</v>
      </c>
      <c r="F96" s="173">
        <v>378</v>
      </c>
      <c r="G96" s="172" t="b">
        <v>1</v>
      </c>
    </row>
    <row r="97" spans="5:7">
      <c r="E97" s="6" t="s">
        <v>200</v>
      </c>
      <c r="F97" s="173">
        <v>381</v>
      </c>
      <c r="G97" s="172" t="b">
        <v>1</v>
      </c>
    </row>
  </sheetData>
  <mergeCells count="61">
    <mergeCell ref="AT1:AU2"/>
    <mergeCell ref="AT3:AT5"/>
    <mergeCell ref="AU3:AU5"/>
    <mergeCell ref="X1:Y2"/>
    <mergeCell ref="X3:X5"/>
    <mergeCell ref="Y3:Y5"/>
    <mergeCell ref="L3:L5"/>
    <mergeCell ref="M3:N3"/>
    <mergeCell ref="O3:O5"/>
    <mergeCell ref="P3:P5"/>
    <mergeCell ref="A49:B51"/>
    <mergeCell ref="A1:A5"/>
    <mergeCell ref="B1:B5"/>
    <mergeCell ref="K1:K2"/>
    <mergeCell ref="K3:K5"/>
    <mergeCell ref="M4:M5"/>
    <mergeCell ref="N4:N5"/>
    <mergeCell ref="S4:S5"/>
    <mergeCell ref="T4:T5"/>
    <mergeCell ref="R3:R5"/>
    <mergeCell ref="S3:T3"/>
    <mergeCell ref="E3:E5"/>
    <mergeCell ref="F3:G3"/>
    <mergeCell ref="H3:H5"/>
    <mergeCell ref="I3:I5"/>
    <mergeCell ref="J3:J5"/>
    <mergeCell ref="F4:F5"/>
    <mergeCell ref="G4:G5"/>
    <mergeCell ref="AN1:AS2"/>
    <mergeCell ref="AB3:AC3"/>
    <mergeCell ref="AD3:AD5"/>
    <mergeCell ref="AE3:AE5"/>
    <mergeCell ref="AF3:AF5"/>
    <mergeCell ref="AH3:AH5"/>
    <mergeCell ref="AI3:AJ3"/>
    <mergeCell ref="AK3:AK5"/>
    <mergeCell ref="AL3:AL5"/>
    <mergeCell ref="AM3:AM5"/>
    <mergeCell ref="AN3:AN5"/>
    <mergeCell ref="AO3:AP3"/>
    <mergeCell ref="AQ3:AQ5"/>
    <mergeCell ref="AR3:AR5"/>
    <mergeCell ref="AS3:AS5"/>
    <mergeCell ref="AB4:AB5"/>
    <mergeCell ref="E1:J2"/>
    <mergeCell ref="L1:Q2"/>
    <mergeCell ref="R1:W2"/>
    <mergeCell ref="AA1:AF2"/>
    <mergeCell ref="AH1:AM2"/>
    <mergeCell ref="AG1:AG2"/>
    <mergeCell ref="AI4:AI5"/>
    <mergeCell ref="AJ4:AJ5"/>
    <mergeCell ref="AO4:AO5"/>
    <mergeCell ref="AP4:AP5"/>
    <mergeCell ref="Q3:Q5"/>
    <mergeCell ref="AC4:AC5"/>
    <mergeCell ref="U3:U5"/>
    <mergeCell ref="V3:V5"/>
    <mergeCell ref="W3:W5"/>
    <mergeCell ref="AA3:AA5"/>
    <mergeCell ref="AG3:AG5"/>
  </mergeCells>
  <printOptions horizontalCentered="1" verticalCentered="1"/>
  <pageMargins left="0.59055118110236227" right="0.51181102362204722" top="0.39370078740157483" bottom="0.19685039370078741" header="0.39370078740157483" footer="0.19685039370078741"/>
  <pageSetup paperSize="9" scale="55" pageOrder="overThenDown" orientation="landscape"/>
  <headerFooter alignWithMargins="0">
    <oddHeader>&amp;C&amp;"Arial CE,tučné"Přehled o vývoji počtu zaměstnanců a objemech mezd od roku  1 9 9 3
za   R O P O  c e l k e m
&amp;R&amp;A   -   &amp;F</oddHeader>
    <oddFooter>&amp;C6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List8">
    <outlinePr summaryRight="0"/>
  </sheetPr>
  <dimension ref="A1:AU52"/>
  <sheetViews>
    <sheetView zoomScaleNormal="100" workbookViewId="0">
      <pane xSplit="3" ySplit="5" topLeftCell="S6" activePane="bottomRight" state="frozen"/>
      <selection activeCell="HM1" sqref="HM1:HN2"/>
      <selection pane="topRight" activeCell="HM1" sqref="HM1:HN2"/>
      <selection pane="bottomLeft" activeCell="HM1" sqref="HM1:HN2"/>
      <selection pane="bottomRight" activeCell="X1" sqref="X1:Y1048576"/>
    </sheetView>
  </sheetViews>
  <sheetFormatPr baseColWidth="10" defaultColWidth="11.5" defaultRowHeight="13"/>
  <cols>
    <col min="1" max="1" width="10.1640625" customWidth="1"/>
    <col min="2" max="2" width="36.5" customWidth="1"/>
    <col min="3" max="3" width="49.6640625" customWidth="1"/>
    <col min="4" max="4" width="3.1640625" customWidth="1"/>
    <col min="5" max="7" width="17.5" customWidth="1"/>
    <col min="8" max="9" width="13.5" customWidth="1"/>
    <col min="10" max="10" width="9.1640625" customWidth="1"/>
    <col min="12" max="12" width="17.83203125" customWidth="1"/>
    <col min="13" max="13" width="14.1640625" customWidth="1"/>
    <col min="14" max="14" width="16.83203125" customWidth="1"/>
    <col min="15" max="15" width="14" customWidth="1"/>
    <col min="16" max="17" width="11.33203125" customWidth="1"/>
    <col min="18" max="18" width="18.83203125" customWidth="1"/>
    <col min="19" max="19" width="15.6640625" customWidth="1"/>
    <col min="20" max="20" width="18.5" customWidth="1"/>
    <col min="21" max="21" width="14" customWidth="1"/>
    <col min="22" max="22" width="12.6640625" customWidth="1"/>
    <col min="23" max="23" width="9.33203125" customWidth="1"/>
    <col min="26" max="26" width="9.33203125" customWidth="1"/>
    <col min="27" max="27" width="15.5" customWidth="1"/>
    <col min="28" max="28" width="12.33203125" customWidth="1"/>
    <col min="29" max="29" width="15.6640625" customWidth="1"/>
    <col min="34" max="34" width="16.5" customWidth="1"/>
    <col min="35" max="35" width="13.5" customWidth="1"/>
    <col min="36" max="36" width="15.1640625" customWidth="1"/>
    <col min="40" max="40" width="16" customWidth="1"/>
    <col min="41" max="41" width="13.5" customWidth="1"/>
    <col min="42" max="42" width="16.1640625" customWidth="1"/>
  </cols>
  <sheetData>
    <row r="1" spans="1:47" s="3" customFormat="1" ht="14.25" customHeight="1" thickTop="1">
      <c r="A1" s="323" t="s">
        <v>131</v>
      </c>
      <c r="B1" s="348" t="s">
        <v>132</v>
      </c>
      <c r="C1" s="411" t="s">
        <v>165</v>
      </c>
      <c r="E1" s="364" t="s">
        <v>220</v>
      </c>
      <c r="F1" s="365"/>
      <c r="G1" s="365"/>
      <c r="H1" s="365"/>
      <c r="I1" s="365"/>
      <c r="J1" s="226"/>
      <c r="K1" s="370" t="s">
        <v>162</v>
      </c>
      <c r="L1" s="364" t="s">
        <v>221</v>
      </c>
      <c r="M1" s="365"/>
      <c r="N1" s="365"/>
      <c r="O1" s="365"/>
      <c r="P1" s="365"/>
      <c r="Q1" s="226"/>
      <c r="R1" s="364" t="s">
        <v>222</v>
      </c>
      <c r="S1" s="365"/>
      <c r="T1" s="365"/>
      <c r="U1" s="365"/>
      <c r="V1" s="365"/>
      <c r="W1" s="226"/>
      <c r="X1" s="372" t="s">
        <v>162</v>
      </c>
      <c r="Y1" s="373"/>
      <c r="Z1"/>
      <c r="AA1" s="364" t="s">
        <v>224</v>
      </c>
      <c r="AB1" s="365"/>
      <c r="AC1" s="365"/>
      <c r="AD1" s="365"/>
      <c r="AE1" s="365"/>
      <c r="AF1" s="226"/>
      <c r="AG1" s="370" t="s">
        <v>162</v>
      </c>
      <c r="AH1" s="364" t="s">
        <v>225</v>
      </c>
      <c r="AI1" s="365"/>
      <c r="AJ1" s="365"/>
      <c r="AK1" s="365"/>
      <c r="AL1" s="365"/>
      <c r="AM1" s="226"/>
      <c r="AN1" s="364" t="s">
        <v>226</v>
      </c>
      <c r="AO1" s="365"/>
      <c r="AP1" s="365"/>
      <c r="AQ1" s="365"/>
      <c r="AR1" s="365"/>
      <c r="AS1" s="226"/>
      <c r="AT1" s="372" t="s">
        <v>162</v>
      </c>
      <c r="AU1" s="373"/>
    </row>
    <row r="2" spans="1:47" s="15" customFormat="1" ht="16.5" customHeight="1" thickBot="1">
      <c r="A2" s="324"/>
      <c r="B2" s="349"/>
      <c r="C2" s="412"/>
      <c r="E2" s="367"/>
      <c r="F2" s="368"/>
      <c r="G2" s="368"/>
      <c r="H2" s="368"/>
      <c r="I2" s="368"/>
      <c r="J2" s="227"/>
      <c r="K2" s="371"/>
      <c r="L2" s="367"/>
      <c r="M2" s="368"/>
      <c r="N2" s="368"/>
      <c r="O2" s="368"/>
      <c r="P2" s="368"/>
      <c r="Q2" s="227"/>
      <c r="R2" s="367"/>
      <c r="S2" s="368"/>
      <c r="T2" s="368"/>
      <c r="U2" s="368"/>
      <c r="V2" s="368"/>
      <c r="W2" s="227"/>
      <c r="X2" s="374"/>
      <c r="Y2" s="375"/>
      <c r="Z2"/>
      <c r="AA2" s="367"/>
      <c r="AB2" s="368"/>
      <c r="AC2" s="368"/>
      <c r="AD2" s="368"/>
      <c r="AE2" s="368"/>
      <c r="AF2" s="227"/>
      <c r="AG2" s="371"/>
      <c r="AH2" s="367"/>
      <c r="AI2" s="368"/>
      <c r="AJ2" s="368"/>
      <c r="AK2" s="368"/>
      <c r="AL2" s="368"/>
      <c r="AM2" s="227"/>
      <c r="AN2" s="367"/>
      <c r="AO2" s="368"/>
      <c r="AP2" s="368"/>
      <c r="AQ2" s="368"/>
      <c r="AR2" s="368"/>
      <c r="AS2" s="227"/>
      <c r="AT2" s="374"/>
      <c r="AU2" s="375"/>
    </row>
    <row r="3" spans="1:47" s="3" customFormat="1" ht="14" customHeight="1" thickBot="1">
      <c r="A3" s="324"/>
      <c r="B3" s="349"/>
      <c r="C3" s="412"/>
      <c r="E3" s="392" t="s">
        <v>181</v>
      </c>
      <c r="F3" s="385" t="s">
        <v>1</v>
      </c>
      <c r="G3" s="386"/>
      <c r="H3" s="387" t="s">
        <v>134</v>
      </c>
      <c r="I3" s="387" t="s">
        <v>183</v>
      </c>
      <c r="J3" s="404" t="s">
        <v>135</v>
      </c>
      <c r="K3" s="382" t="s">
        <v>149</v>
      </c>
      <c r="L3" s="337" t="s">
        <v>181</v>
      </c>
      <c r="M3" s="340" t="s">
        <v>1</v>
      </c>
      <c r="N3" s="341"/>
      <c r="O3" s="329" t="s">
        <v>134</v>
      </c>
      <c r="P3" s="405" t="s">
        <v>183</v>
      </c>
      <c r="Q3" s="404" t="s">
        <v>135</v>
      </c>
      <c r="R3" s="338" t="s">
        <v>181</v>
      </c>
      <c r="S3" s="407" t="s">
        <v>1</v>
      </c>
      <c r="T3" s="408"/>
      <c r="U3" s="330" t="s">
        <v>134</v>
      </c>
      <c r="V3" s="406" t="s">
        <v>183</v>
      </c>
      <c r="W3" s="401" t="s">
        <v>135</v>
      </c>
      <c r="X3" s="376" t="s">
        <v>150</v>
      </c>
      <c r="Y3" s="379" t="s">
        <v>151</v>
      </c>
      <c r="Z3"/>
      <c r="AA3" s="392" t="s">
        <v>181</v>
      </c>
      <c r="AB3" s="385" t="s">
        <v>1</v>
      </c>
      <c r="AC3" s="386"/>
      <c r="AD3" s="387" t="s">
        <v>134</v>
      </c>
      <c r="AE3" s="387" t="s">
        <v>183</v>
      </c>
      <c r="AF3" s="404" t="s">
        <v>135</v>
      </c>
      <c r="AG3" s="382" t="s">
        <v>149</v>
      </c>
      <c r="AH3" s="337" t="s">
        <v>181</v>
      </c>
      <c r="AI3" s="340" t="s">
        <v>1</v>
      </c>
      <c r="AJ3" s="341"/>
      <c r="AK3" s="329" t="s">
        <v>134</v>
      </c>
      <c r="AL3" s="405" t="s">
        <v>183</v>
      </c>
      <c r="AM3" s="404" t="s">
        <v>135</v>
      </c>
      <c r="AN3" s="338" t="s">
        <v>181</v>
      </c>
      <c r="AO3" s="407" t="s">
        <v>1</v>
      </c>
      <c r="AP3" s="408"/>
      <c r="AQ3" s="330" t="s">
        <v>134</v>
      </c>
      <c r="AR3" s="406" t="s">
        <v>183</v>
      </c>
      <c r="AS3" s="401" t="s">
        <v>135</v>
      </c>
      <c r="AT3" s="376" t="s">
        <v>150</v>
      </c>
      <c r="AU3" s="379" t="s">
        <v>151</v>
      </c>
    </row>
    <row r="4" spans="1:47" s="3" customFormat="1" ht="12.75" customHeight="1">
      <c r="A4" s="324"/>
      <c r="B4" s="349"/>
      <c r="C4" s="412"/>
      <c r="E4" s="393"/>
      <c r="F4" s="390" t="s">
        <v>182</v>
      </c>
      <c r="G4" s="387" t="s">
        <v>133</v>
      </c>
      <c r="H4" s="388"/>
      <c r="I4" s="388"/>
      <c r="J4" s="401"/>
      <c r="K4" s="383"/>
      <c r="L4" s="338"/>
      <c r="M4" s="335" t="s">
        <v>182</v>
      </c>
      <c r="N4" s="329" t="s">
        <v>133</v>
      </c>
      <c r="O4" s="330"/>
      <c r="P4" s="406"/>
      <c r="Q4" s="401"/>
      <c r="R4" s="338"/>
      <c r="S4" s="335" t="s">
        <v>182</v>
      </c>
      <c r="T4" s="329" t="s">
        <v>133</v>
      </c>
      <c r="U4" s="330"/>
      <c r="V4" s="406"/>
      <c r="W4" s="401"/>
      <c r="X4" s="377"/>
      <c r="Y4" s="380"/>
      <c r="Z4"/>
      <c r="AA4" s="393"/>
      <c r="AB4" s="390" t="s">
        <v>182</v>
      </c>
      <c r="AC4" s="387" t="s">
        <v>133</v>
      </c>
      <c r="AD4" s="388"/>
      <c r="AE4" s="388"/>
      <c r="AF4" s="401"/>
      <c r="AG4" s="383"/>
      <c r="AH4" s="338"/>
      <c r="AI4" s="335" t="s">
        <v>182</v>
      </c>
      <c r="AJ4" s="329" t="s">
        <v>133</v>
      </c>
      <c r="AK4" s="330"/>
      <c r="AL4" s="406"/>
      <c r="AM4" s="401"/>
      <c r="AN4" s="338"/>
      <c r="AO4" s="335" t="s">
        <v>182</v>
      </c>
      <c r="AP4" s="329" t="s">
        <v>133</v>
      </c>
      <c r="AQ4" s="330"/>
      <c r="AR4" s="406"/>
      <c r="AS4" s="401"/>
      <c r="AT4" s="377"/>
      <c r="AU4" s="380"/>
    </row>
    <row r="5" spans="1:47" s="3" customFormat="1" ht="24" customHeight="1" thickBot="1">
      <c r="A5" s="324"/>
      <c r="B5" s="349"/>
      <c r="C5" s="413"/>
      <c r="E5" s="393"/>
      <c r="F5" s="402"/>
      <c r="G5" s="388"/>
      <c r="H5" s="388"/>
      <c r="I5" s="389"/>
      <c r="J5" s="401"/>
      <c r="K5" s="384"/>
      <c r="L5" s="338"/>
      <c r="M5" s="403"/>
      <c r="N5" s="330"/>
      <c r="O5" s="330"/>
      <c r="P5" s="406"/>
      <c r="Q5" s="401"/>
      <c r="R5" s="338"/>
      <c r="S5" s="403"/>
      <c r="T5" s="330"/>
      <c r="U5" s="330"/>
      <c r="V5" s="406"/>
      <c r="W5" s="401"/>
      <c r="X5" s="378"/>
      <c r="Y5" s="381"/>
      <c r="Z5"/>
      <c r="AA5" s="393"/>
      <c r="AB5" s="402"/>
      <c r="AC5" s="388"/>
      <c r="AD5" s="388"/>
      <c r="AE5" s="389"/>
      <c r="AF5" s="401"/>
      <c r="AG5" s="384"/>
      <c r="AH5" s="338"/>
      <c r="AI5" s="403"/>
      <c r="AJ5" s="330"/>
      <c r="AK5" s="330"/>
      <c r="AL5" s="406"/>
      <c r="AM5" s="401"/>
      <c r="AN5" s="338"/>
      <c r="AO5" s="403"/>
      <c r="AP5" s="330"/>
      <c r="AQ5" s="330"/>
      <c r="AR5" s="406"/>
      <c r="AS5" s="401"/>
      <c r="AT5" s="378"/>
      <c r="AU5" s="381"/>
    </row>
    <row r="6" spans="1:47" s="3" customFormat="1" ht="17.25" customHeight="1" thickBot="1">
      <c r="A6" s="410"/>
      <c r="B6" s="409"/>
      <c r="C6" s="85" t="s">
        <v>106</v>
      </c>
      <c r="E6" s="196">
        <v>7712676316</v>
      </c>
      <c r="F6" s="185">
        <v>15443816</v>
      </c>
      <c r="G6" s="185">
        <v>7697232500</v>
      </c>
      <c r="H6" s="185">
        <v>14605</v>
      </c>
      <c r="I6" s="186">
        <v>43919</v>
      </c>
      <c r="J6" s="81">
        <f t="shared" ref="J6:J30" si="0">RANK(I6,I$6:I$50,0)</f>
        <v>13</v>
      </c>
      <c r="K6" s="432"/>
      <c r="L6" s="83">
        <v>7716212316</v>
      </c>
      <c r="M6" s="79">
        <v>15443816</v>
      </c>
      <c r="N6" s="79">
        <v>7700768500</v>
      </c>
      <c r="O6" s="79">
        <v>14613</v>
      </c>
      <c r="P6" s="235">
        <v>43915</v>
      </c>
      <c r="Q6" s="81">
        <f t="shared" ref="Q6:Q30" si="1">RANK(P6,P$6:P$50,0)</f>
        <v>20</v>
      </c>
      <c r="R6" s="83">
        <v>7591507667</v>
      </c>
      <c r="S6" s="79">
        <v>42355705</v>
      </c>
      <c r="T6" s="79">
        <v>7549151962</v>
      </c>
      <c r="U6" s="79">
        <v>13604.26</v>
      </c>
      <c r="V6" s="235">
        <v>46243</v>
      </c>
      <c r="W6" s="81">
        <f t="shared" ref="W6:W30" si="2">RANK(V6,V$6:V$50,0)</f>
        <v>18</v>
      </c>
      <c r="X6" s="37"/>
      <c r="Y6" s="38"/>
      <c r="Z6"/>
      <c r="AA6" s="196">
        <v>8101993301</v>
      </c>
      <c r="AB6" s="185">
        <v>15443816</v>
      </c>
      <c r="AC6" s="185">
        <v>8086549485</v>
      </c>
      <c r="AD6" s="185">
        <v>14614</v>
      </c>
      <c r="AE6" s="186">
        <v>46112</v>
      </c>
      <c r="AF6" s="81">
        <f t="shared" ref="AF6:AF30" si="3">RANK(AE6,AE$6:AE$50,0)</f>
        <v>16</v>
      </c>
      <c r="AG6" s="432"/>
      <c r="AH6" s="83">
        <v>7894062851</v>
      </c>
      <c r="AI6" s="79">
        <v>15443816</v>
      </c>
      <c r="AJ6" s="79">
        <v>7878619035</v>
      </c>
      <c r="AK6" s="79">
        <v>14614</v>
      </c>
      <c r="AL6" s="235">
        <v>44926</v>
      </c>
      <c r="AM6" s="81">
        <f t="shared" ref="AM6:AM30" si="4">RANK(AL6,AL$6:AL$50,0)</f>
        <v>21</v>
      </c>
      <c r="AN6" s="83">
        <v>7887181654</v>
      </c>
      <c r="AO6" s="79">
        <v>9420437</v>
      </c>
      <c r="AP6" s="79">
        <v>7877761217</v>
      </c>
      <c r="AQ6" s="79">
        <v>13575.32</v>
      </c>
      <c r="AR6" s="235">
        <v>48358</v>
      </c>
      <c r="AS6" s="81">
        <f t="shared" ref="AS6:AS30" si="5">RANK(AR6,AR$6:AR$50,0)</f>
        <v>21</v>
      </c>
      <c r="AT6" s="37"/>
      <c r="AU6" s="38"/>
    </row>
    <row r="7" spans="1:47" s="3" customFormat="1" ht="17.25" customHeight="1" thickBot="1">
      <c r="A7" s="410"/>
      <c r="B7" s="409"/>
      <c r="C7" s="85" t="s">
        <v>194</v>
      </c>
      <c r="E7" s="196">
        <v>55268317</v>
      </c>
      <c r="F7" s="185">
        <v>543137</v>
      </c>
      <c r="G7" s="185">
        <v>54725180</v>
      </c>
      <c r="H7" s="185">
        <v>72</v>
      </c>
      <c r="I7" s="186">
        <v>63339</v>
      </c>
      <c r="J7" s="81">
        <f t="shared" si="0"/>
        <v>1</v>
      </c>
      <c r="K7" s="432"/>
      <c r="L7" s="83">
        <v>57168487</v>
      </c>
      <c r="M7" s="79">
        <v>543137</v>
      </c>
      <c r="N7" s="79">
        <v>56625350</v>
      </c>
      <c r="O7" s="79">
        <v>75</v>
      </c>
      <c r="P7" s="235">
        <v>62917</v>
      </c>
      <c r="Q7" s="81">
        <f t="shared" si="1"/>
        <v>1</v>
      </c>
      <c r="R7" s="83">
        <v>58377866.210000001</v>
      </c>
      <c r="S7" s="79">
        <v>159028</v>
      </c>
      <c r="T7" s="79">
        <v>58218838.210000001</v>
      </c>
      <c r="U7" s="79">
        <v>69.06</v>
      </c>
      <c r="V7" s="235">
        <v>70252</v>
      </c>
      <c r="W7" s="81">
        <f t="shared" si="2"/>
        <v>1</v>
      </c>
      <c r="X7" s="37"/>
      <c r="Y7" s="38"/>
      <c r="Z7"/>
      <c r="AA7" s="196">
        <v>61994933</v>
      </c>
      <c r="AB7" s="185">
        <v>543137</v>
      </c>
      <c r="AC7" s="185">
        <v>61451796</v>
      </c>
      <c r="AD7" s="185">
        <v>77</v>
      </c>
      <c r="AE7" s="186">
        <v>66506</v>
      </c>
      <c r="AF7" s="81">
        <f t="shared" si="3"/>
        <v>1</v>
      </c>
      <c r="AG7" s="432"/>
      <c r="AH7" s="83">
        <v>60698173</v>
      </c>
      <c r="AI7" s="79">
        <v>43137</v>
      </c>
      <c r="AJ7" s="79">
        <v>60655036</v>
      </c>
      <c r="AK7" s="79">
        <v>77</v>
      </c>
      <c r="AL7" s="235">
        <v>65644</v>
      </c>
      <c r="AM7" s="81">
        <f t="shared" si="4"/>
        <v>1</v>
      </c>
      <c r="AN7" s="83">
        <v>61474034.049999997</v>
      </c>
      <c r="AO7" s="79">
        <v>147076</v>
      </c>
      <c r="AP7" s="79">
        <v>61326958.049999997</v>
      </c>
      <c r="AQ7" s="79">
        <v>70.38000000000001</v>
      </c>
      <c r="AR7" s="235">
        <v>72614</v>
      </c>
      <c r="AS7" s="81">
        <f t="shared" si="5"/>
        <v>1</v>
      </c>
      <c r="AT7" s="37"/>
      <c r="AU7" s="38"/>
    </row>
    <row r="8" spans="1:47" s="1" customFormat="1" ht="16.5" customHeight="1" thickBot="1">
      <c r="A8" s="410"/>
      <c r="B8" s="409"/>
      <c r="C8" s="90" t="s">
        <v>64</v>
      </c>
      <c r="E8" s="202">
        <f>SUM(E6:E7)</f>
        <v>7767944633</v>
      </c>
      <c r="F8" s="202">
        <f t="shared" ref="F8:H8" si="6">SUM(F6:F7)</f>
        <v>15986953</v>
      </c>
      <c r="G8" s="202">
        <f t="shared" si="6"/>
        <v>7751957680</v>
      </c>
      <c r="H8" s="202">
        <f t="shared" si="6"/>
        <v>14677</v>
      </c>
      <c r="I8" s="201">
        <f>IF(H8=0,0,ROUND(G8/H8/12,0))</f>
        <v>44014</v>
      </c>
      <c r="J8" s="299">
        <f t="shared" si="0"/>
        <v>12</v>
      </c>
      <c r="K8" s="432"/>
      <c r="L8" s="202">
        <f>SUM(L6:L7)</f>
        <v>7773380803</v>
      </c>
      <c r="M8" s="202">
        <f t="shared" ref="M8" si="7">SUM(M6:M7)</f>
        <v>15986953</v>
      </c>
      <c r="N8" s="202">
        <f t="shared" ref="N8" si="8">SUM(N6:N7)</f>
        <v>7757393850</v>
      </c>
      <c r="O8" s="202">
        <f t="shared" ref="O8" si="9">SUM(O6:O7)</f>
        <v>14688</v>
      </c>
      <c r="P8" s="201">
        <f>IF(O8=0,0,ROUND(N8/O8/12,0))</f>
        <v>44012</v>
      </c>
      <c r="Q8" s="299">
        <f t="shared" si="1"/>
        <v>18</v>
      </c>
      <c r="R8" s="202">
        <f>SUM(R6:R7)</f>
        <v>7649885533.21</v>
      </c>
      <c r="S8" s="202">
        <f t="shared" ref="S8" si="10">SUM(S6:S7)</f>
        <v>42514733</v>
      </c>
      <c r="T8" s="202">
        <f t="shared" ref="T8" si="11">SUM(T6:T7)</f>
        <v>7607370800.21</v>
      </c>
      <c r="U8" s="202">
        <f t="shared" ref="U8" si="12">SUM(U6:U7)</f>
        <v>13673.32</v>
      </c>
      <c r="V8" s="201">
        <f>IF(U8=0,0,ROUND(T8/U8/12,0))</f>
        <v>46364</v>
      </c>
      <c r="W8" s="299">
        <f t="shared" si="2"/>
        <v>17</v>
      </c>
      <c r="X8" s="37"/>
      <c r="Y8" s="38"/>
      <c r="Z8"/>
      <c r="AA8" s="202">
        <v>8163988234</v>
      </c>
      <c r="AB8" s="200">
        <v>15986953</v>
      </c>
      <c r="AC8" s="200">
        <v>8148001281</v>
      </c>
      <c r="AD8" s="200">
        <v>14691</v>
      </c>
      <c r="AE8" s="201">
        <v>46219</v>
      </c>
      <c r="AF8" s="299">
        <f t="shared" si="3"/>
        <v>15</v>
      </c>
      <c r="AG8" s="432"/>
      <c r="AH8" s="143">
        <v>7954761024</v>
      </c>
      <c r="AI8" s="199">
        <v>15486953</v>
      </c>
      <c r="AJ8" s="199">
        <v>7939274071</v>
      </c>
      <c r="AK8" s="199">
        <v>14691</v>
      </c>
      <c r="AL8" s="236">
        <v>45035</v>
      </c>
      <c r="AM8" s="299">
        <f t="shared" si="4"/>
        <v>20</v>
      </c>
      <c r="AN8" s="143">
        <v>7948655688.0500002</v>
      </c>
      <c r="AO8" s="199">
        <v>9567513</v>
      </c>
      <c r="AP8" s="199">
        <v>7939088175.0500002</v>
      </c>
      <c r="AQ8" s="199">
        <v>13645.699999999999</v>
      </c>
      <c r="AR8" s="236">
        <v>48483</v>
      </c>
      <c r="AS8" s="299">
        <f t="shared" si="5"/>
        <v>20</v>
      </c>
      <c r="AT8" s="37"/>
      <c r="AU8" s="38"/>
    </row>
    <row r="9" spans="1:47" s="3" customFormat="1" ht="17.25" customHeight="1" thickBot="1">
      <c r="A9" s="409">
        <v>313</v>
      </c>
      <c r="B9" s="409" t="s">
        <v>17</v>
      </c>
      <c r="C9" s="84" t="s">
        <v>65</v>
      </c>
      <c r="E9" s="206">
        <v>4298020651</v>
      </c>
      <c r="F9" s="205">
        <v>5253599</v>
      </c>
      <c r="G9" s="205">
        <v>4292767052</v>
      </c>
      <c r="H9" s="205">
        <v>11157</v>
      </c>
      <c r="I9" s="205">
        <v>32063</v>
      </c>
      <c r="J9" s="81">
        <f t="shared" si="0"/>
        <v>43</v>
      </c>
      <c r="K9" s="432"/>
      <c r="L9" s="204">
        <v>5241818535</v>
      </c>
      <c r="M9" s="203">
        <v>175933759</v>
      </c>
      <c r="N9" s="203">
        <v>5065884776</v>
      </c>
      <c r="O9" s="203">
        <v>10492</v>
      </c>
      <c r="P9" s="215">
        <v>40236</v>
      </c>
      <c r="Q9" s="81">
        <f t="shared" si="1"/>
        <v>29</v>
      </c>
      <c r="R9" s="204">
        <v>5275256669</v>
      </c>
      <c r="S9" s="203">
        <v>169483228</v>
      </c>
      <c r="T9" s="203">
        <v>5105773441</v>
      </c>
      <c r="U9" s="203">
        <v>10270.790000000001</v>
      </c>
      <c r="V9" s="215">
        <v>41426</v>
      </c>
      <c r="W9" s="81">
        <f t="shared" si="2"/>
        <v>33</v>
      </c>
      <c r="X9" s="37"/>
      <c r="Y9" s="38"/>
      <c r="Z9"/>
      <c r="AA9" s="206">
        <v>4641666732</v>
      </c>
      <c r="AB9" s="205">
        <v>25253599</v>
      </c>
      <c r="AC9" s="205">
        <v>4616413133</v>
      </c>
      <c r="AD9" s="205">
        <v>10711</v>
      </c>
      <c r="AE9" s="205">
        <v>35916</v>
      </c>
      <c r="AF9" s="81">
        <f t="shared" si="3"/>
        <v>40</v>
      </c>
      <c r="AG9" s="432"/>
      <c r="AH9" s="204">
        <v>5325621346</v>
      </c>
      <c r="AI9" s="203">
        <v>41099740</v>
      </c>
      <c r="AJ9" s="203">
        <v>5284521606</v>
      </c>
      <c r="AK9" s="203">
        <v>10580.91</v>
      </c>
      <c r="AL9" s="215">
        <v>41620</v>
      </c>
      <c r="AM9" s="81">
        <f t="shared" si="4"/>
        <v>31</v>
      </c>
      <c r="AN9" s="204">
        <v>5202981771.7299995</v>
      </c>
      <c r="AO9" s="203">
        <v>43984879</v>
      </c>
      <c r="AP9" s="203">
        <v>5158996892.7299995</v>
      </c>
      <c r="AQ9" s="203">
        <v>9878.619999999999</v>
      </c>
      <c r="AR9" s="215">
        <v>43520</v>
      </c>
      <c r="AS9" s="81">
        <f t="shared" si="5"/>
        <v>37</v>
      </c>
      <c r="AT9" s="37"/>
      <c r="AU9" s="38"/>
    </row>
    <row r="10" spans="1:47" s="3" customFormat="1" ht="17.25" customHeight="1" thickBot="1">
      <c r="A10" s="409"/>
      <c r="B10" s="409"/>
      <c r="C10" s="86" t="s">
        <v>66</v>
      </c>
      <c r="E10" s="196">
        <v>3484283284</v>
      </c>
      <c r="F10" s="185">
        <v>18504333</v>
      </c>
      <c r="G10" s="185">
        <v>3465778951</v>
      </c>
      <c r="H10" s="185">
        <v>8454.0500000000011</v>
      </c>
      <c r="I10" s="186">
        <v>34163</v>
      </c>
      <c r="J10" s="81">
        <f t="shared" si="0"/>
        <v>38</v>
      </c>
      <c r="K10" s="432"/>
      <c r="L10" s="83">
        <v>3766182394</v>
      </c>
      <c r="M10" s="79">
        <v>18504333</v>
      </c>
      <c r="N10" s="79">
        <v>3747678061</v>
      </c>
      <c r="O10" s="79">
        <v>8286.32</v>
      </c>
      <c r="P10" s="235">
        <v>37689</v>
      </c>
      <c r="Q10" s="81">
        <f t="shared" si="1"/>
        <v>34</v>
      </c>
      <c r="R10" s="83">
        <v>3730480845</v>
      </c>
      <c r="S10" s="79">
        <v>11041164</v>
      </c>
      <c r="T10" s="79">
        <v>3719439681</v>
      </c>
      <c r="U10" s="79">
        <v>7852</v>
      </c>
      <c r="V10" s="235">
        <v>39474</v>
      </c>
      <c r="W10" s="81">
        <f t="shared" si="2"/>
        <v>36</v>
      </c>
      <c r="X10" s="37"/>
      <c r="Y10" s="38"/>
      <c r="Z10"/>
      <c r="AA10" s="196">
        <v>3657572231</v>
      </c>
      <c r="AB10" s="185">
        <v>18504333</v>
      </c>
      <c r="AC10" s="185">
        <v>3639067898</v>
      </c>
      <c r="AD10" s="185">
        <v>8269</v>
      </c>
      <c r="AE10" s="186">
        <v>36674</v>
      </c>
      <c r="AF10" s="81">
        <f t="shared" si="3"/>
        <v>38</v>
      </c>
      <c r="AG10" s="432"/>
      <c r="AH10" s="83">
        <v>3779813979</v>
      </c>
      <c r="AI10" s="79">
        <v>15504333</v>
      </c>
      <c r="AJ10" s="79">
        <v>3764309646</v>
      </c>
      <c r="AK10" s="79">
        <v>8003.33</v>
      </c>
      <c r="AL10" s="235">
        <v>39195</v>
      </c>
      <c r="AM10" s="81">
        <f t="shared" si="4"/>
        <v>39</v>
      </c>
      <c r="AN10" s="83">
        <v>3784059905</v>
      </c>
      <c r="AO10" s="79">
        <v>12287090</v>
      </c>
      <c r="AP10" s="79">
        <v>3771772815</v>
      </c>
      <c r="AQ10" s="79">
        <v>7641.17</v>
      </c>
      <c r="AR10" s="235">
        <v>41134</v>
      </c>
      <c r="AS10" s="81">
        <f t="shared" si="5"/>
        <v>42</v>
      </c>
      <c r="AT10" s="37"/>
      <c r="AU10" s="38"/>
    </row>
    <row r="11" spans="1:47" s="2" customFormat="1" ht="17.25" customHeight="1" thickBot="1">
      <c r="A11" s="409"/>
      <c r="B11" s="409"/>
      <c r="C11" s="86" t="s">
        <v>98</v>
      </c>
      <c r="E11" s="196">
        <v>25099594</v>
      </c>
      <c r="F11" s="185">
        <v>94364</v>
      </c>
      <c r="G11" s="185">
        <v>25005230</v>
      </c>
      <c r="H11" s="185">
        <v>43.4</v>
      </c>
      <c r="I11" s="186">
        <v>48013</v>
      </c>
      <c r="J11" s="81">
        <f t="shared" si="0"/>
        <v>10</v>
      </c>
      <c r="K11" s="432"/>
      <c r="L11" s="83">
        <v>24436679</v>
      </c>
      <c r="M11" s="79">
        <v>94364</v>
      </c>
      <c r="N11" s="79">
        <v>24342315</v>
      </c>
      <c r="O11" s="79">
        <v>41</v>
      </c>
      <c r="P11" s="235">
        <v>49476</v>
      </c>
      <c r="Q11" s="81">
        <f t="shared" si="1"/>
        <v>10</v>
      </c>
      <c r="R11" s="83">
        <v>23814214</v>
      </c>
      <c r="S11" s="79">
        <v>94320</v>
      </c>
      <c r="T11" s="79">
        <v>23719894</v>
      </c>
      <c r="U11" s="79">
        <v>38.43</v>
      </c>
      <c r="V11" s="235">
        <v>51435</v>
      </c>
      <c r="W11" s="81">
        <f t="shared" si="2"/>
        <v>14</v>
      </c>
      <c r="X11" s="37"/>
      <c r="Y11" s="38"/>
      <c r="Z11"/>
      <c r="AA11" s="196">
        <v>25790536</v>
      </c>
      <c r="AB11" s="185">
        <v>94364</v>
      </c>
      <c r="AC11" s="185">
        <v>25696172</v>
      </c>
      <c r="AD11" s="185">
        <v>43.4</v>
      </c>
      <c r="AE11" s="186">
        <v>49340</v>
      </c>
      <c r="AF11" s="81">
        <f t="shared" si="3"/>
        <v>11</v>
      </c>
      <c r="AG11" s="432"/>
      <c r="AH11" s="83">
        <v>25628566</v>
      </c>
      <c r="AI11" s="79">
        <v>94364</v>
      </c>
      <c r="AJ11" s="79">
        <v>25534202</v>
      </c>
      <c r="AK11" s="79">
        <v>41.4</v>
      </c>
      <c r="AL11" s="235">
        <v>51397</v>
      </c>
      <c r="AM11" s="81">
        <f t="shared" si="4"/>
        <v>8</v>
      </c>
      <c r="AN11" s="83">
        <v>25050463</v>
      </c>
      <c r="AO11" s="79">
        <v>62720</v>
      </c>
      <c r="AP11" s="79">
        <v>24987743</v>
      </c>
      <c r="AQ11" s="79">
        <v>38.75</v>
      </c>
      <c r="AR11" s="235">
        <v>53737</v>
      </c>
      <c r="AS11" s="81">
        <f t="shared" si="5"/>
        <v>14</v>
      </c>
      <c r="AT11" s="37"/>
      <c r="AU11" s="38"/>
    </row>
    <row r="12" spans="1:47" s="2" customFormat="1" ht="17.25" customHeight="1" thickBot="1">
      <c r="A12" s="409"/>
      <c r="B12" s="409"/>
      <c r="C12" s="80" t="s">
        <v>99</v>
      </c>
      <c r="E12" s="196">
        <v>355670028</v>
      </c>
      <c r="F12" s="185">
        <v>454458</v>
      </c>
      <c r="G12" s="185">
        <v>355215570</v>
      </c>
      <c r="H12" s="185">
        <v>797</v>
      </c>
      <c r="I12" s="186">
        <v>37141</v>
      </c>
      <c r="J12" s="81">
        <f t="shared" si="0"/>
        <v>31</v>
      </c>
      <c r="K12" s="432"/>
      <c r="L12" s="83">
        <v>369023144</v>
      </c>
      <c r="M12" s="79">
        <v>1985898</v>
      </c>
      <c r="N12" s="79">
        <v>367037246</v>
      </c>
      <c r="O12" s="79">
        <v>797</v>
      </c>
      <c r="P12" s="235">
        <v>38377</v>
      </c>
      <c r="Q12" s="81">
        <f t="shared" si="1"/>
        <v>33</v>
      </c>
      <c r="R12" s="83">
        <v>351117469</v>
      </c>
      <c r="S12" s="79">
        <v>1793423</v>
      </c>
      <c r="T12" s="79">
        <v>349324046</v>
      </c>
      <c r="U12" s="79">
        <v>717.06</v>
      </c>
      <c r="V12" s="235">
        <v>40597</v>
      </c>
      <c r="W12" s="81">
        <f t="shared" si="2"/>
        <v>35</v>
      </c>
      <c r="X12" s="37"/>
      <c r="Y12" s="38"/>
      <c r="Z12"/>
      <c r="AA12" s="196">
        <v>373430806</v>
      </c>
      <c r="AB12" s="185">
        <v>454458</v>
      </c>
      <c r="AC12" s="185">
        <v>372976348</v>
      </c>
      <c r="AD12" s="185">
        <v>797</v>
      </c>
      <c r="AE12" s="186">
        <v>38998</v>
      </c>
      <c r="AF12" s="81">
        <f t="shared" si="3"/>
        <v>36</v>
      </c>
      <c r="AG12" s="432"/>
      <c r="AH12" s="83">
        <v>369654446</v>
      </c>
      <c r="AI12" s="79">
        <v>1147878</v>
      </c>
      <c r="AJ12" s="79">
        <v>368506568</v>
      </c>
      <c r="AK12" s="79">
        <v>797</v>
      </c>
      <c r="AL12" s="235">
        <v>38531</v>
      </c>
      <c r="AM12" s="81">
        <f t="shared" si="4"/>
        <v>40</v>
      </c>
      <c r="AN12" s="83">
        <v>366847244</v>
      </c>
      <c r="AO12" s="79">
        <v>1283616</v>
      </c>
      <c r="AP12" s="79">
        <v>365563628</v>
      </c>
      <c r="AQ12" s="79">
        <v>723.84999999999991</v>
      </c>
      <c r="AR12" s="235">
        <v>42086</v>
      </c>
      <c r="AS12" s="81">
        <f t="shared" si="5"/>
        <v>39</v>
      </c>
      <c r="AT12" s="37"/>
      <c r="AU12" s="38"/>
    </row>
    <row r="13" spans="1:47" s="1" customFormat="1" ht="17.25" customHeight="1" thickBot="1">
      <c r="A13" s="409"/>
      <c r="B13" s="409"/>
      <c r="C13" s="90" t="s">
        <v>64</v>
      </c>
      <c r="E13" s="207">
        <f>SUM(E9:E12)</f>
        <v>8163073557</v>
      </c>
      <c r="F13" s="207">
        <f t="shared" ref="F13:H13" si="13">SUM(F9:F12)</f>
        <v>24306754</v>
      </c>
      <c r="G13" s="207">
        <f t="shared" si="13"/>
        <v>8138766803</v>
      </c>
      <c r="H13" s="207">
        <f t="shared" si="13"/>
        <v>20451.450000000004</v>
      </c>
      <c r="I13" s="201">
        <f>IF(H13=0,0,ROUND(G13/H13/12,0))</f>
        <v>33163</v>
      </c>
      <c r="J13" s="299">
        <f t="shared" si="0"/>
        <v>40</v>
      </c>
      <c r="K13" s="432"/>
      <c r="L13" s="207">
        <f>SUM(L9:L12)</f>
        <v>9401460752</v>
      </c>
      <c r="M13" s="207">
        <f t="shared" ref="M13" si="14">SUM(M9:M12)</f>
        <v>196518354</v>
      </c>
      <c r="N13" s="207">
        <f t="shared" ref="N13" si="15">SUM(N9:N12)</f>
        <v>9204942398</v>
      </c>
      <c r="O13" s="207">
        <f t="shared" ref="O13" si="16">SUM(O9:O12)</f>
        <v>19616.32</v>
      </c>
      <c r="P13" s="201">
        <f>IF(O13=0,0,ROUND(N13/O13/12,0))</f>
        <v>39104</v>
      </c>
      <c r="Q13" s="299">
        <f t="shared" si="1"/>
        <v>31</v>
      </c>
      <c r="R13" s="207">
        <f>SUM(R9:R12)</f>
        <v>9380669197</v>
      </c>
      <c r="S13" s="207">
        <f t="shared" ref="S13" si="17">SUM(S9:S12)</f>
        <v>182412135</v>
      </c>
      <c r="T13" s="207">
        <f t="shared" ref="T13" si="18">SUM(T9:T12)</f>
        <v>9198257062</v>
      </c>
      <c r="U13" s="207">
        <f t="shared" ref="U13" si="19">SUM(U9:U12)</f>
        <v>18878.280000000002</v>
      </c>
      <c r="V13" s="201">
        <f>IF(U13=0,0,ROUND(T13/U13/12,0))</f>
        <v>40603</v>
      </c>
      <c r="W13" s="299">
        <f t="shared" si="2"/>
        <v>34</v>
      </c>
      <c r="X13" s="37"/>
      <c r="Y13" s="38"/>
      <c r="Z13"/>
      <c r="AA13" s="207">
        <v>8698460305</v>
      </c>
      <c r="AB13" s="200">
        <v>44306754</v>
      </c>
      <c r="AC13" s="200">
        <v>8654153551</v>
      </c>
      <c r="AD13" s="200">
        <v>19820.400000000001</v>
      </c>
      <c r="AE13" s="201">
        <v>36386</v>
      </c>
      <c r="AF13" s="299">
        <f t="shared" si="3"/>
        <v>39</v>
      </c>
      <c r="AG13" s="432"/>
      <c r="AH13" s="143">
        <v>9500718337</v>
      </c>
      <c r="AI13" s="199">
        <v>57846315</v>
      </c>
      <c r="AJ13" s="199">
        <v>9442872022</v>
      </c>
      <c r="AK13" s="199">
        <v>19422.64</v>
      </c>
      <c r="AL13" s="236">
        <v>40515</v>
      </c>
      <c r="AM13" s="299">
        <f t="shared" si="4"/>
        <v>35</v>
      </c>
      <c r="AN13" s="143">
        <v>9378939383.7299995</v>
      </c>
      <c r="AO13" s="199">
        <v>57618305</v>
      </c>
      <c r="AP13" s="199">
        <v>9321321078.7299995</v>
      </c>
      <c r="AQ13" s="199">
        <v>18282.39</v>
      </c>
      <c r="AR13" s="236">
        <v>42488</v>
      </c>
      <c r="AS13" s="299">
        <f t="shared" si="5"/>
        <v>38</v>
      </c>
      <c r="AT13" s="37"/>
      <c r="AU13" s="38"/>
    </row>
    <row r="14" spans="1:47" s="3" customFormat="1" ht="17.25" customHeight="1" thickBot="1">
      <c r="A14" s="410">
        <v>314</v>
      </c>
      <c r="B14" s="410" t="s">
        <v>19</v>
      </c>
      <c r="C14" s="84" t="s">
        <v>79</v>
      </c>
      <c r="E14" s="206">
        <v>491033390</v>
      </c>
      <c r="F14" s="205">
        <v>11287959</v>
      </c>
      <c r="G14" s="205">
        <v>479745431</v>
      </c>
      <c r="H14" s="205">
        <v>1088</v>
      </c>
      <c r="I14" s="205">
        <v>36745</v>
      </c>
      <c r="J14" s="81">
        <f t="shared" si="0"/>
        <v>32</v>
      </c>
      <c r="K14" s="432"/>
      <c r="L14" s="204">
        <v>504976157</v>
      </c>
      <c r="M14" s="203">
        <v>21184726</v>
      </c>
      <c r="N14" s="203">
        <v>483791431</v>
      </c>
      <c r="O14" s="203">
        <v>1089.75</v>
      </c>
      <c r="P14" s="215">
        <v>36996</v>
      </c>
      <c r="Q14" s="81">
        <f t="shared" si="1"/>
        <v>35</v>
      </c>
      <c r="R14" s="204">
        <v>502846250.54000002</v>
      </c>
      <c r="S14" s="203">
        <v>21616470</v>
      </c>
      <c r="T14" s="203">
        <v>481229780.54000002</v>
      </c>
      <c r="U14" s="203">
        <v>1043.6600000000001</v>
      </c>
      <c r="V14" s="215">
        <v>38425</v>
      </c>
      <c r="W14" s="81">
        <f t="shared" si="2"/>
        <v>37</v>
      </c>
      <c r="X14" s="37"/>
      <c r="Y14" s="38"/>
      <c r="Z14"/>
      <c r="AA14" s="206">
        <v>526934243</v>
      </c>
      <c r="AB14" s="205">
        <v>10918379</v>
      </c>
      <c r="AC14" s="205">
        <v>516015864</v>
      </c>
      <c r="AD14" s="205">
        <v>1090.8699999999999</v>
      </c>
      <c r="AE14" s="205">
        <v>39419</v>
      </c>
      <c r="AF14" s="81">
        <f t="shared" si="3"/>
        <v>34</v>
      </c>
      <c r="AG14" s="432"/>
      <c r="AH14" s="204">
        <v>533791767</v>
      </c>
      <c r="AI14" s="203">
        <v>19693733</v>
      </c>
      <c r="AJ14" s="203">
        <v>514098034</v>
      </c>
      <c r="AK14" s="203">
        <v>1090.47</v>
      </c>
      <c r="AL14" s="215">
        <v>39287</v>
      </c>
      <c r="AM14" s="81">
        <f t="shared" si="4"/>
        <v>37</v>
      </c>
      <c r="AN14" s="204">
        <v>533689203.07999998</v>
      </c>
      <c r="AO14" s="203">
        <v>20220530.000000004</v>
      </c>
      <c r="AP14" s="203">
        <v>513468673.07999998</v>
      </c>
      <c r="AQ14" s="203">
        <v>1039.5100000000002</v>
      </c>
      <c r="AR14" s="215">
        <v>41163</v>
      </c>
      <c r="AS14" s="81">
        <f t="shared" si="5"/>
        <v>40</v>
      </c>
      <c r="AT14" s="37"/>
      <c r="AU14" s="38"/>
    </row>
    <row r="15" spans="1:47" s="1" customFormat="1" ht="16.5" customHeight="1" thickBot="1">
      <c r="A15" s="410"/>
      <c r="B15" s="410"/>
      <c r="C15" s="90" t="s">
        <v>64</v>
      </c>
      <c r="E15" s="207">
        <f>SUM(E14)</f>
        <v>491033390</v>
      </c>
      <c r="F15" s="207">
        <f t="shared" ref="F15:H15" si="20">SUM(F14)</f>
        <v>11287959</v>
      </c>
      <c r="G15" s="207">
        <f t="shared" si="20"/>
        <v>479745431</v>
      </c>
      <c r="H15" s="207">
        <f t="shared" si="20"/>
        <v>1088</v>
      </c>
      <c r="I15" s="201">
        <f>IF(H15=0,0,ROUND(G15/H15/12,0))</f>
        <v>36745</v>
      </c>
      <c r="J15" s="299">
        <f t="shared" si="0"/>
        <v>32</v>
      </c>
      <c r="K15" s="432"/>
      <c r="L15" s="207">
        <f>SUM(L14)</f>
        <v>504976157</v>
      </c>
      <c r="M15" s="207">
        <f t="shared" ref="M15" si="21">SUM(M14)</f>
        <v>21184726</v>
      </c>
      <c r="N15" s="207">
        <f t="shared" ref="N15" si="22">SUM(N14)</f>
        <v>483791431</v>
      </c>
      <c r="O15" s="207">
        <f t="shared" ref="O15" si="23">SUM(O14)</f>
        <v>1089.75</v>
      </c>
      <c r="P15" s="201">
        <f>IF(O15=0,0,ROUND(N15/O15/12,0))</f>
        <v>36996</v>
      </c>
      <c r="Q15" s="299">
        <f t="shared" si="1"/>
        <v>35</v>
      </c>
      <c r="R15" s="207">
        <f>SUM(R14)</f>
        <v>502846250.54000002</v>
      </c>
      <c r="S15" s="207">
        <f t="shared" ref="S15" si="24">SUM(S14)</f>
        <v>21616470</v>
      </c>
      <c r="T15" s="207">
        <f t="shared" ref="T15" si="25">SUM(T14)</f>
        <v>481229780.54000002</v>
      </c>
      <c r="U15" s="207">
        <f t="shared" ref="U15" si="26">SUM(U14)</f>
        <v>1043.6600000000001</v>
      </c>
      <c r="V15" s="201">
        <f>IF(U15=0,0,ROUND(T15/U15/12,0))</f>
        <v>38425</v>
      </c>
      <c r="W15" s="299">
        <f t="shared" si="2"/>
        <v>37</v>
      </c>
      <c r="X15" s="37"/>
      <c r="Y15" s="38"/>
      <c r="Z15"/>
      <c r="AA15" s="207">
        <v>526934243</v>
      </c>
      <c r="AB15" s="200">
        <v>10918379</v>
      </c>
      <c r="AC15" s="200">
        <v>516015864</v>
      </c>
      <c r="AD15" s="200">
        <v>1090.8699999999999</v>
      </c>
      <c r="AE15" s="201">
        <v>39419</v>
      </c>
      <c r="AF15" s="299">
        <f t="shared" si="3"/>
        <v>34</v>
      </c>
      <c r="AG15" s="432"/>
      <c r="AH15" s="143">
        <v>533791767</v>
      </c>
      <c r="AI15" s="199">
        <v>19693733</v>
      </c>
      <c r="AJ15" s="199">
        <v>514098034</v>
      </c>
      <c r="AK15" s="199">
        <v>1090.47</v>
      </c>
      <c r="AL15" s="236">
        <v>39287</v>
      </c>
      <c r="AM15" s="299">
        <f t="shared" si="4"/>
        <v>37</v>
      </c>
      <c r="AN15" s="143">
        <v>533689203.07999998</v>
      </c>
      <c r="AO15" s="199">
        <v>20220530.000000004</v>
      </c>
      <c r="AP15" s="199">
        <v>513468673.07999998</v>
      </c>
      <c r="AQ15" s="199">
        <v>1039.5100000000002</v>
      </c>
      <c r="AR15" s="236">
        <v>41163</v>
      </c>
      <c r="AS15" s="299">
        <f t="shared" si="5"/>
        <v>40</v>
      </c>
      <c r="AT15" s="37"/>
      <c r="AU15" s="38"/>
    </row>
    <row r="16" spans="1:47" s="3" customFormat="1" ht="17.25" customHeight="1" thickBot="1">
      <c r="A16" s="410">
        <v>315</v>
      </c>
      <c r="B16" s="409" t="s">
        <v>21</v>
      </c>
      <c r="C16" s="84" t="s">
        <v>196</v>
      </c>
      <c r="E16" s="198">
        <v>279066007</v>
      </c>
      <c r="F16" s="185">
        <v>3035955</v>
      </c>
      <c r="G16" s="185">
        <v>276030052</v>
      </c>
      <c r="H16" s="185">
        <v>536</v>
      </c>
      <c r="I16" s="185">
        <v>42915</v>
      </c>
      <c r="J16" s="81">
        <f t="shared" si="0"/>
        <v>15</v>
      </c>
      <c r="K16" s="432"/>
      <c r="L16" s="197">
        <v>284961128</v>
      </c>
      <c r="M16" s="79">
        <v>8141076</v>
      </c>
      <c r="N16" s="79">
        <v>276820052</v>
      </c>
      <c r="O16" s="79">
        <v>536</v>
      </c>
      <c r="P16" s="237">
        <v>43038</v>
      </c>
      <c r="Q16" s="81">
        <f t="shared" si="1"/>
        <v>22</v>
      </c>
      <c r="R16" s="197">
        <v>282660968</v>
      </c>
      <c r="S16" s="79">
        <v>9406247</v>
      </c>
      <c r="T16" s="79">
        <v>273254721</v>
      </c>
      <c r="U16" s="79">
        <v>500.48</v>
      </c>
      <c r="V16" s="237">
        <v>45499</v>
      </c>
      <c r="W16" s="81">
        <f t="shared" si="2"/>
        <v>21</v>
      </c>
      <c r="X16" s="37"/>
      <c r="Y16" s="38"/>
      <c r="Z16"/>
      <c r="AA16" s="198">
        <v>293397021</v>
      </c>
      <c r="AB16" s="185">
        <v>3035955</v>
      </c>
      <c r="AC16" s="185">
        <v>290361066</v>
      </c>
      <c r="AD16" s="185">
        <v>537</v>
      </c>
      <c r="AE16" s="185">
        <v>45059</v>
      </c>
      <c r="AF16" s="81">
        <f t="shared" si="3"/>
        <v>20</v>
      </c>
      <c r="AG16" s="432"/>
      <c r="AH16" s="197">
        <v>289416262</v>
      </c>
      <c r="AI16" s="79">
        <v>3035955</v>
      </c>
      <c r="AJ16" s="79">
        <v>286380307</v>
      </c>
      <c r="AK16" s="79">
        <v>540.57999999999993</v>
      </c>
      <c r="AL16" s="237">
        <v>44147</v>
      </c>
      <c r="AM16" s="81">
        <f t="shared" si="4"/>
        <v>23</v>
      </c>
      <c r="AN16" s="197">
        <v>290295325</v>
      </c>
      <c r="AO16" s="79">
        <v>3833935</v>
      </c>
      <c r="AP16" s="79">
        <v>286461390</v>
      </c>
      <c r="AQ16" s="79">
        <v>503.80999999999995</v>
      </c>
      <c r="AR16" s="237">
        <v>47383</v>
      </c>
      <c r="AS16" s="81">
        <f t="shared" si="5"/>
        <v>24</v>
      </c>
      <c r="AT16" s="37"/>
      <c r="AU16" s="38"/>
    </row>
    <row r="17" spans="1:47" s="3" customFormat="1" ht="17.25" customHeight="1" thickBot="1">
      <c r="A17" s="410"/>
      <c r="B17" s="409"/>
      <c r="C17" s="85" t="s">
        <v>195</v>
      </c>
      <c r="E17" s="196">
        <v>398252893</v>
      </c>
      <c r="F17" s="185">
        <v>26033436</v>
      </c>
      <c r="G17" s="185">
        <v>372219457</v>
      </c>
      <c r="H17" s="185">
        <v>738.30000000000007</v>
      </c>
      <c r="I17" s="186">
        <v>42013</v>
      </c>
      <c r="J17" s="81">
        <f t="shared" si="0"/>
        <v>20</v>
      </c>
      <c r="K17" s="432"/>
      <c r="L17" s="196">
        <v>443155850</v>
      </c>
      <c r="M17" s="185">
        <v>28209585</v>
      </c>
      <c r="N17" s="185">
        <v>414946265</v>
      </c>
      <c r="O17" s="185">
        <v>767.78</v>
      </c>
      <c r="P17" s="238">
        <v>45037</v>
      </c>
      <c r="Q17" s="81">
        <f t="shared" si="1"/>
        <v>14</v>
      </c>
      <c r="R17" s="83">
        <v>388196284</v>
      </c>
      <c r="S17" s="79">
        <v>18490375</v>
      </c>
      <c r="T17" s="79">
        <v>369705909</v>
      </c>
      <c r="U17" s="79">
        <v>718.80000000000007</v>
      </c>
      <c r="V17" s="235">
        <v>42861</v>
      </c>
      <c r="W17" s="81">
        <f t="shared" si="2"/>
        <v>30</v>
      </c>
      <c r="X17" s="37"/>
      <c r="Y17" s="38"/>
      <c r="Z17"/>
      <c r="AA17" s="196">
        <v>462663527</v>
      </c>
      <c r="AB17" s="185">
        <v>25625849</v>
      </c>
      <c r="AC17" s="185">
        <v>437037678</v>
      </c>
      <c r="AD17" s="185">
        <v>782.1400000000001</v>
      </c>
      <c r="AE17" s="186">
        <v>46564</v>
      </c>
      <c r="AF17" s="81">
        <f t="shared" si="3"/>
        <v>14</v>
      </c>
      <c r="AG17" s="432"/>
      <c r="AH17" s="196">
        <v>467787318</v>
      </c>
      <c r="AI17" s="185">
        <v>28594078</v>
      </c>
      <c r="AJ17" s="185">
        <v>439193240</v>
      </c>
      <c r="AK17" s="185">
        <v>801.08</v>
      </c>
      <c r="AL17" s="238">
        <v>45688</v>
      </c>
      <c r="AM17" s="81">
        <f t="shared" si="4"/>
        <v>17</v>
      </c>
      <c r="AN17" s="83">
        <v>462806181</v>
      </c>
      <c r="AO17" s="79">
        <v>33385337</v>
      </c>
      <c r="AP17" s="79">
        <v>429420844</v>
      </c>
      <c r="AQ17" s="79">
        <v>766.09999999999991</v>
      </c>
      <c r="AR17" s="235">
        <v>46711</v>
      </c>
      <c r="AS17" s="81">
        <f t="shared" si="5"/>
        <v>28</v>
      </c>
      <c r="AT17" s="37"/>
      <c r="AU17" s="38"/>
    </row>
    <row r="18" spans="1:47" s="1" customFormat="1" ht="17.25" customHeight="1" thickBot="1">
      <c r="A18" s="410"/>
      <c r="B18" s="409"/>
      <c r="C18" s="90" t="s">
        <v>64</v>
      </c>
      <c r="E18" s="212">
        <f>SUM(E16:E17)</f>
        <v>677318900</v>
      </c>
      <c r="F18" s="212">
        <f t="shared" ref="F18:H18" si="27">SUM(F16:F17)</f>
        <v>29069391</v>
      </c>
      <c r="G18" s="212">
        <f t="shared" si="27"/>
        <v>648249509</v>
      </c>
      <c r="H18" s="212">
        <f t="shared" si="27"/>
        <v>1274.3000000000002</v>
      </c>
      <c r="I18" s="201">
        <f>IF(H18=0,0,ROUND(G18/H18/12,0))</f>
        <v>42393</v>
      </c>
      <c r="J18" s="299">
        <f t="shared" si="0"/>
        <v>18</v>
      </c>
      <c r="K18" s="432"/>
      <c r="L18" s="212">
        <f>SUM(L16:L17)</f>
        <v>728116978</v>
      </c>
      <c r="M18" s="212">
        <f t="shared" ref="M18" si="28">SUM(M16:M17)</f>
        <v>36350661</v>
      </c>
      <c r="N18" s="212">
        <f t="shared" ref="N18" si="29">SUM(N16:N17)</f>
        <v>691766317</v>
      </c>
      <c r="O18" s="212">
        <f t="shared" ref="O18" si="30">SUM(O16:O17)</f>
        <v>1303.78</v>
      </c>
      <c r="P18" s="201">
        <f>IF(O18=0,0,ROUND(N18/O18/12,0))</f>
        <v>44215</v>
      </c>
      <c r="Q18" s="299">
        <f t="shared" si="1"/>
        <v>17</v>
      </c>
      <c r="R18" s="212">
        <f>SUM(R16:R17)</f>
        <v>670857252</v>
      </c>
      <c r="S18" s="212">
        <f t="shared" ref="S18" si="31">SUM(S16:S17)</f>
        <v>27896622</v>
      </c>
      <c r="T18" s="212">
        <f t="shared" ref="T18" si="32">SUM(T16:T17)</f>
        <v>642960630</v>
      </c>
      <c r="U18" s="212">
        <f t="shared" ref="U18" si="33">SUM(U16:U17)</f>
        <v>1219.2800000000002</v>
      </c>
      <c r="V18" s="201">
        <f>IF(U18=0,0,ROUND(T18/U18/12,0))</f>
        <v>43944</v>
      </c>
      <c r="W18" s="299">
        <f t="shared" si="2"/>
        <v>28</v>
      </c>
      <c r="X18" s="37"/>
      <c r="Y18" s="38"/>
      <c r="Z18"/>
      <c r="AA18" s="212">
        <v>756060548</v>
      </c>
      <c r="AB18" s="210">
        <v>28661804</v>
      </c>
      <c r="AC18" s="210">
        <v>727398744</v>
      </c>
      <c r="AD18" s="210">
        <v>1319.14</v>
      </c>
      <c r="AE18" s="211">
        <v>45952</v>
      </c>
      <c r="AF18" s="299">
        <f t="shared" si="3"/>
        <v>17</v>
      </c>
      <c r="AG18" s="432"/>
      <c r="AH18" s="221">
        <v>757203580</v>
      </c>
      <c r="AI18" s="214">
        <v>31630033</v>
      </c>
      <c r="AJ18" s="214">
        <v>725573547</v>
      </c>
      <c r="AK18" s="214">
        <v>1341.6599999999999</v>
      </c>
      <c r="AL18" s="239">
        <v>45067</v>
      </c>
      <c r="AM18" s="299">
        <f t="shared" si="4"/>
        <v>19</v>
      </c>
      <c r="AN18" s="208">
        <v>753101506</v>
      </c>
      <c r="AO18" s="209">
        <v>37219272</v>
      </c>
      <c r="AP18" s="209">
        <v>715882234</v>
      </c>
      <c r="AQ18" s="209">
        <v>1269.9099999999999</v>
      </c>
      <c r="AR18" s="264">
        <v>46977</v>
      </c>
      <c r="AS18" s="299">
        <f t="shared" si="5"/>
        <v>26</v>
      </c>
      <c r="AT18" s="37"/>
      <c r="AU18" s="38"/>
    </row>
    <row r="19" spans="1:47" s="3" customFormat="1" ht="17.25" customHeight="1" thickBot="1">
      <c r="A19" s="410">
        <v>322</v>
      </c>
      <c r="B19" s="410" t="s">
        <v>27</v>
      </c>
      <c r="C19" s="84" t="s">
        <v>67</v>
      </c>
      <c r="E19" s="206">
        <v>41383443</v>
      </c>
      <c r="F19" s="205">
        <v>1388465</v>
      </c>
      <c r="G19" s="205">
        <v>39994978</v>
      </c>
      <c r="H19" s="205">
        <v>82</v>
      </c>
      <c r="I19" s="205">
        <v>40645</v>
      </c>
      <c r="J19" s="81">
        <f t="shared" si="0"/>
        <v>24</v>
      </c>
      <c r="K19" s="432"/>
      <c r="L19" s="206">
        <v>41383443</v>
      </c>
      <c r="M19" s="205">
        <v>1388465</v>
      </c>
      <c r="N19" s="205">
        <v>39994978</v>
      </c>
      <c r="O19" s="205">
        <v>82</v>
      </c>
      <c r="P19" s="240">
        <v>40645</v>
      </c>
      <c r="Q19" s="81">
        <f t="shared" si="1"/>
        <v>27</v>
      </c>
      <c r="R19" s="204">
        <v>40549523</v>
      </c>
      <c r="S19" s="203">
        <v>1468465</v>
      </c>
      <c r="T19" s="203">
        <v>39081058</v>
      </c>
      <c r="U19" s="203">
        <v>77.02</v>
      </c>
      <c r="V19" s="215">
        <v>42285</v>
      </c>
      <c r="W19" s="81">
        <f t="shared" si="2"/>
        <v>31</v>
      </c>
      <c r="X19" s="37"/>
      <c r="Y19" s="38"/>
      <c r="Z19"/>
      <c r="AA19" s="206">
        <v>43383192</v>
      </c>
      <c r="AB19" s="205">
        <v>1388465</v>
      </c>
      <c r="AC19" s="205">
        <v>41994727</v>
      </c>
      <c r="AD19" s="205">
        <v>82</v>
      </c>
      <c r="AE19" s="205">
        <v>42678</v>
      </c>
      <c r="AF19" s="81">
        <f t="shared" si="3"/>
        <v>28</v>
      </c>
      <c r="AG19" s="432"/>
      <c r="AH19" s="206">
        <v>42646642</v>
      </c>
      <c r="AI19" s="205">
        <v>1388465</v>
      </c>
      <c r="AJ19" s="205">
        <v>41258177</v>
      </c>
      <c r="AK19" s="205">
        <v>82</v>
      </c>
      <c r="AL19" s="240">
        <v>41929</v>
      </c>
      <c r="AM19" s="81">
        <f t="shared" si="4"/>
        <v>29</v>
      </c>
      <c r="AN19" s="204">
        <v>42386642</v>
      </c>
      <c r="AO19" s="203">
        <v>1228465</v>
      </c>
      <c r="AP19" s="203">
        <v>41158177</v>
      </c>
      <c r="AQ19" s="203">
        <v>78</v>
      </c>
      <c r="AR19" s="215">
        <v>43972</v>
      </c>
      <c r="AS19" s="81">
        <f t="shared" si="5"/>
        <v>34</v>
      </c>
      <c r="AT19" s="37"/>
      <c r="AU19" s="38"/>
    </row>
    <row r="20" spans="1:47" s="3" customFormat="1" ht="17.25" customHeight="1" thickBot="1">
      <c r="A20" s="410"/>
      <c r="B20" s="410"/>
      <c r="C20" s="86" t="s">
        <v>68</v>
      </c>
      <c r="E20" s="196">
        <v>217718307</v>
      </c>
      <c r="F20" s="185">
        <v>3376162</v>
      </c>
      <c r="G20" s="185">
        <v>214342145</v>
      </c>
      <c r="H20" s="185">
        <v>441</v>
      </c>
      <c r="I20" s="186">
        <v>40503</v>
      </c>
      <c r="J20" s="81">
        <f t="shared" si="0"/>
        <v>26</v>
      </c>
      <c r="K20" s="432"/>
      <c r="L20" s="83">
        <v>217718307</v>
      </c>
      <c r="M20" s="79">
        <v>3376162</v>
      </c>
      <c r="N20" s="79">
        <v>214342145</v>
      </c>
      <c r="O20" s="79">
        <v>431</v>
      </c>
      <c r="P20" s="235">
        <v>41443</v>
      </c>
      <c r="Q20" s="81">
        <f t="shared" si="1"/>
        <v>25</v>
      </c>
      <c r="R20" s="83">
        <v>211164256</v>
      </c>
      <c r="S20" s="79">
        <v>4486928</v>
      </c>
      <c r="T20" s="79">
        <v>206677328</v>
      </c>
      <c r="U20" s="79">
        <v>390.66</v>
      </c>
      <c r="V20" s="235">
        <v>44087</v>
      </c>
      <c r="W20" s="81">
        <f t="shared" si="2"/>
        <v>27</v>
      </c>
      <c r="X20" s="37"/>
      <c r="Y20" s="38"/>
      <c r="Z20"/>
      <c r="AA20" s="196">
        <v>228435414</v>
      </c>
      <c r="AB20" s="185">
        <v>3376162</v>
      </c>
      <c r="AC20" s="185">
        <v>225059252</v>
      </c>
      <c r="AD20" s="185">
        <v>431</v>
      </c>
      <c r="AE20" s="186">
        <v>43515</v>
      </c>
      <c r="AF20" s="81">
        <f t="shared" si="3"/>
        <v>24</v>
      </c>
      <c r="AG20" s="432"/>
      <c r="AH20" s="83">
        <v>223609343</v>
      </c>
      <c r="AI20" s="79">
        <v>3376162</v>
      </c>
      <c r="AJ20" s="79">
        <v>220233181</v>
      </c>
      <c r="AK20" s="79">
        <v>431</v>
      </c>
      <c r="AL20" s="235">
        <v>42582</v>
      </c>
      <c r="AM20" s="81">
        <f t="shared" si="4"/>
        <v>26</v>
      </c>
      <c r="AN20" s="83">
        <v>220241946</v>
      </c>
      <c r="AO20" s="79">
        <v>2759331</v>
      </c>
      <c r="AP20" s="79">
        <v>217482615</v>
      </c>
      <c r="AQ20" s="79">
        <v>384.68</v>
      </c>
      <c r="AR20" s="235">
        <v>47113</v>
      </c>
      <c r="AS20" s="81">
        <f t="shared" si="5"/>
        <v>25</v>
      </c>
      <c r="AT20" s="37"/>
      <c r="AU20" s="38"/>
    </row>
    <row r="21" spans="1:47" s="3" customFormat="1" ht="17.25" customHeight="1" thickBot="1">
      <c r="A21" s="410"/>
      <c r="B21" s="410"/>
      <c r="C21" s="86" t="s">
        <v>69</v>
      </c>
      <c r="E21" s="196">
        <v>64138703</v>
      </c>
      <c r="F21" s="185">
        <v>2592000</v>
      </c>
      <c r="G21" s="185">
        <v>61546703</v>
      </c>
      <c r="H21" s="185">
        <v>126</v>
      </c>
      <c r="I21" s="186">
        <v>40705</v>
      </c>
      <c r="J21" s="81">
        <f t="shared" si="0"/>
        <v>23</v>
      </c>
      <c r="K21" s="432"/>
      <c r="L21" s="83">
        <v>64138703</v>
      </c>
      <c r="M21" s="79">
        <v>2592000</v>
      </c>
      <c r="N21" s="79">
        <v>61546703</v>
      </c>
      <c r="O21" s="79">
        <v>126</v>
      </c>
      <c r="P21" s="235">
        <v>40705</v>
      </c>
      <c r="Q21" s="81">
        <f t="shared" si="1"/>
        <v>26</v>
      </c>
      <c r="R21" s="83">
        <v>62002869</v>
      </c>
      <c r="S21" s="79">
        <v>1987636</v>
      </c>
      <c r="T21" s="79">
        <v>60015233</v>
      </c>
      <c r="U21" s="79">
        <v>112.79</v>
      </c>
      <c r="V21" s="235">
        <v>44341</v>
      </c>
      <c r="W21" s="81">
        <f t="shared" si="2"/>
        <v>25</v>
      </c>
      <c r="X21" s="37"/>
      <c r="Y21" s="38"/>
      <c r="Z21"/>
      <c r="AA21" s="196">
        <v>67216038</v>
      </c>
      <c r="AB21" s="185">
        <v>2592000</v>
      </c>
      <c r="AC21" s="185">
        <v>64624038</v>
      </c>
      <c r="AD21" s="185">
        <v>126</v>
      </c>
      <c r="AE21" s="186">
        <v>42741</v>
      </c>
      <c r="AF21" s="81">
        <f t="shared" si="3"/>
        <v>27</v>
      </c>
      <c r="AG21" s="432"/>
      <c r="AH21" s="83">
        <v>65029698</v>
      </c>
      <c r="AI21" s="79">
        <v>2592000</v>
      </c>
      <c r="AJ21" s="79">
        <v>62437698</v>
      </c>
      <c r="AK21" s="79">
        <v>126</v>
      </c>
      <c r="AL21" s="235">
        <v>41295</v>
      </c>
      <c r="AM21" s="81">
        <f t="shared" si="4"/>
        <v>33</v>
      </c>
      <c r="AN21" s="83">
        <v>64012407</v>
      </c>
      <c r="AO21" s="79">
        <v>2009209</v>
      </c>
      <c r="AP21" s="79">
        <v>62003198</v>
      </c>
      <c r="AQ21" s="79">
        <v>116.38</v>
      </c>
      <c r="AR21" s="235">
        <v>44397</v>
      </c>
      <c r="AS21" s="81">
        <f t="shared" si="5"/>
        <v>32</v>
      </c>
      <c r="AT21" s="37"/>
      <c r="AU21" s="38"/>
    </row>
    <row r="22" spans="1:47" s="3" customFormat="1" ht="17.25" customHeight="1" thickBot="1">
      <c r="A22" s="410"/>
      <c r="B22" s="410"/>
      <c r="C22" s="86" t="s">
        <v>84</v>
      </c>
      <c r="E22" s="196">
        <v>31744641</v>
      </c>
      <c r="F22" s="185">
        <v>1608064</v>
      </c>
      <c r="G22" s="185">
        <v>30136577</v>
      </c>
      <c r="H22" s="185">
        <v>58</v>
      </c>
      <c r="I22" s="186">
        <v>43300</v>
      </c>
      <c r="J22" s="81">
        <f t="shared" si="0"/>
        <v>14</v>
      </c>
      <c r="K22" s="432"/>
      <c r="L22" s="83">
        <v>32691879</v>
      </c>
      <c r="M22" s="79">
        <v>1608064</v>
      </c>
      <c r="N22" s="79">
        <v>31083815</v>
      </c>
      <c r="O22" s="79">
        <v>58</v>
      </c>
      <c r="P22" s="235">
        <v>44661</v>
      </c>
      <c r="Q22" s="81">
        <f t="shared" si="1"/>
        <v>15</v>
      </c>
      <c r="R22" s="83">
        <v>32772704</v>
      </c>
      <c r="S22" s="79">
        <v>1352280</v>
      </c>
      <c r="T22" s="79">
        <v>31420424</v>
      </c>
      <c r="U22" s="79">
        <v>50.18</v>
      </c>
      <c r="V22" s="235">
        <v>52180</v>
      </c>
      <c r="W22" s="81">
        <f t="shared" si="2"/>
        <v>12</v>
      </c>
      <c r="X22" s="37"/>
      <c r="Y22" s="38"/>
      <c r="Z22"/>
      <c r="AA22" s="196">
        <v>33251470</v>
      </c>
      <c r="AB22" s="185">
        <v>1608064</v>
      </c>
      <c r="AC22" s="185">
        <v>31643406</v>
      </c>
      <c r="AD22" s="185">
        <v>58</v>
      </c>
      <c r="AE22" s="186">
        <v>45465</v>
      </c>
      <c r="AF22" s="81">
        <f t="shared" si="3"/>
        <v>18</v>
      </c>
      <c r="AG22" s="432"/>
      <c r="AH22" s="83">
        <v>32739620</v>
      </c>
      <c r="AI22" s="79">
        <v>1608064</v>
      </c>
      <c r="AJ22" s="79">
        <v>31131556</v>
      </c>
      <c r="AK22" s="79">
        <v>58</v>
      </c>
      <c r="AL22" s="235">
        <v>44729</v>
      </c>
      <c r="AM22" s="81">
        <f t="shared" si="4"/>
        <v>22</v>
      </c>
      <c r="AN22" s="83">
        <v>31937215</v>
      </c>
      <c r="AO22" s="79">
        <v>161364</v>
      </c>
      <c r="AP22" s="79">
        <v>31775851</v>
      </c>
      <c r="AQ22" s="79">
        <v>51.650000000000006</v>
      </c>
      <c r="AR22" s="235">
        <v>51268</v>
      </c>
      <c r="AS22" s="81">
        <f t="shared" si="5"/>
        <v>15</v>
      </c>
      <c r="AT22" s="37"/>
      <c r="AU22" s="38"/>
    </row>
    <row r="23" spans="1:47" s="2" customFormat="1" ht="17.25" customHeight="1" thickBot="1">
      <c r="A23" s="410"/>
      <c r="B23" s="410"/>
      <c r="C23" s="86" t="s">
        <v>95</v>
      </c>
      <c r="E23" s="196">
        <v>25541792</v>
      </c>
      <c r="F23" s="185">
        <v>1699702</v>
      </c>
      <c r="G23" s="185">
        <v>23842090</v>
      </c>
      <c r="H23" s="185">
        <v>40</v>
      </c>
      <c r="I23" s="186">
        <v>49671</v>
      </c>
      <c r="J23" s="81">
        <f t="shared" si="0"/>
        <v>5</v>
      </c>
      <c r="K23" s="432"/>
      <c r="L23" s="83">
        <v>25541792</v>
      </c>
      <c r="M23" s="79">
        <v>1699702</v>
      </c>
      <c r="N23" s="79">
        <v>23842090</v>
      </c>
      <c r="O23" s="79">
        <v>40</v>
      </c>
      <c r="P23" s="235">
        <v>49671</v>
      </c>
      <c r="Q23" s="81">
        <f t="shared" si="1"/>
        <v>9</v>
      </c>
      <c r="R23" s="83">
        <v>25026972</v>
      </c>
      <c r="S23" s="79">
        <v>1699702</v>
      </c>
      <c r="T23" s="79">
        <v>23327270</v>
      </c>
      <c r="U23" s="79">
        <v>37.17</v>
      </c>
      <c r="V23" s="235">
        <v>52299</v>
      </c>
      <c r="W23" s="81">
        <f t="shared" si="2"/>
        <v>11</v>
      </c>
      <c r="X23" s="37"/>
      <c r="Y23" s="38"/>
      <c r="Z23"/>
      <c r="AA23" s="196">
        <v>26733896</v>
      </c>
      <c r="AB23" s="185">
        <v>1699702</v>
      </c>
      <c r="AC23" s="185">
        <v>25034194</v>
      </c>
      <c r="AD23" s="185">
        <v>40</v>
      </c>
      <c r="AE23" s="186">
        <v>52155</v>
      </c>
      <c r="AF23" s="81">
        <f t="shared" si="3"/>
        <v>7</v>
      </c>
      <c r="AG23" s="432"/>
      <c r="AH23" s="83">
        <v>26241346</v>
      </c>
      <c r="AI23" s="79">
        <v>1699702</v>
      </c>
      <c r="AJ23" s="79">
        <v>24541644</v>
      </c>
      <c r="AK23" s="79">
        <v>40</v>
      </c>
      <c r="AL23" s="235">
        <v>51128</v>
      </c>
      <c r="AM23" s="81">
        <f t="shared" si="4"/>
        <v>10</v>
      </c>
      <c r="AN23" s="83">
        <v>26136264</v>
      </c>
      <c r="AO23" s="79">
        <v>1698940</v>
      </c>
      <c r="AP23" s="79">
        <v>24437324</v>
      </c>
      <c r="AQ23" s="79">
        <v>37.880000000000003</v>
      </c>
      <c r="AR23" s="235">
        <v>53760</v>
      </c>
      <c r="AS23" s="81">
        <f t="shared" si="5"/>
        <v>13</v>
      </c>
      <c r="AT23" s="37"/>
      <c r="AU23" s="38"/>
    </row>
    <row r="24" spans="1:47" s="1" customFormat="1" ht="17.25" customHeight="1" thickBot="1">
      <c r="A24" s="410"/>
      <c r="B24" s="410"/>
      <c r="C24" s="90" t="s">
        <v>64</v>
      </c>
      <c r="E24" s="207">
        <f>SUM(E19:E23)</f>
        <v>380526886</v>
      </c>
      <c r="F24" s="207">
        <f t="shared" ref="F24:H24" si="34">SUM(F19:F23)</f>
        <v>10664393</v>
      </c>
      <c r="G24" s="207">
        <f t="shared" si="34"/>
        <v>369862493</v>
      </c>
      <c r="H24" s="207">
        <f t="shared" si="34"/>
        <v>747</v>
      </c>
      <c r="I24" s="201">
        <f>IF(H24=0,0,ROUND(G24/H24/12,0))</f>
        <v>41261</v>
      </c>
      <c r="J24" s="299">
        <f t="shared" si="0"/>
        <v>21</v>
      </c>
      <c r="K24" s="432"/>
      <c r="L24" s="207">
        <f>SUM(L19:L23)</f>
        <v>381474124</v>
      </c>
      <c r="M24" s="207">
        <f t="shared" ref="M24" si="35">SUM(M19:M23)</f>
        <v>10664393</v>
      </c>
      <c r="N24" s="207">
        <f t="shared" ref="N24" si="36">SUM(N19:N23)</f>
        <v>370809731</v>
      </c>
      <c r="O24" s="207">
        <f t="shared" ref="O24" si="37">SUM(O19:O23)</f>
        <v>737</v>
      </c>
      <c r="P24" s="201">
        <f>IF(O24=0,0,ROUND(N24/O24/12,0))</f>
        <v>41928</v>
      </c>
      <c r="Q24" s="299">
        <f t="shared" si="1"/>
        <v>24</v>
      </c>
      <c r="R24" s="207">
        <f>SUM(R19:R23)</f>
        <v>371516324</v>
      </c>
      <c r="S24" s="207">
        <f t="shared" ref="S24" si="38">SUM(S19:S23)</f>
        <v>10995011</v>
      </c>
      <c r="T24" s="207">
        <f t="shared" ref="T24" si="39">SUM(T19:T23)</f>
        <v>360521313</v>
      </c>
      <c r="U24" s="207">
        <f t="shared" ref="U24" si="40">SUM(U19:U23)</f>
        <v>667.81999999999994</v>
      </c>
      <c r="V24" s="201">
        <f>IF(U24=0,0,ROUND(T24/U24/12,0))</f>
        <v>44987</v>
      </c>
      <c r="W24" s="299">
        <f t="shared" si="2"/>
        <v>24</v>
      </c>
      <c r="X24" s="37"/>
      <c r="Y24" s="38"/>
      <c r="Z24"/>
      <c r="AA24" s="207">
        <v>399020010</v>
      </c>
      <c r="AB24" s="200">
        <v>10664393</v>
      </c>
      <c r="AC24" s="200">
        <v>388355617</v>
      </c>
      <c r="AD24" s="200">
        <v>737</v>
      </c>
      <c r="AE24" s="201">
        <v>43912</v>
      </c>
      <c r="AF24" s="299">
        <f t="shared" si="3"/>
        <v>23</v>
      </c>
      <c r="AG24" s="432"/>
      <c r="AH24" s="217">
        <v>390266649</v>
      </c>
      <c r="AI24" s="218">
        <v>10664393</v>
      </c>
      <c r="AJ24" s="218">
        <v>379602256</v>
      </c>
      <c r="AK24" s="218">
        <v>737</v>
      </c>
      <c r="AL24" s="241">
        <v>42922</v>
      </c>
      <c r="AM24" s="299">
        <f t="shared" si="4"/>
        <v>24</v>
      </c>
      <c r="AN24" s="143">
        <v>384714474</v>
      </c>
      <c r="AO24" s="199">
        <v>7857309</v>
      </c>
      <c r="AP24" s="199">
        <v>376857165</v>
      </c>
      <c r="AQ24" s="199">
        <v>668.58999999999992</v>
      </c>
      <c r="AR24" s="236">
        <v>46972</v>
      </c>
      <c r="AS24" s="299">
        <f t="shared" si="5"/>
        <v>27</v>
      </c>
      <c r="AT24" s="37"/>
      <c r="AU24" s="38"/>
    </row>
    <row r="25" spans="1:47" s="3" customFormat="1" ht="17.25" customHeight="1">
      <c r="A25" s="417">
        <v>327</v>
      </c>
      <c r="B25" s="417" t="s">
        <v>29</v>
      </c>
      <c r="C25" s="84" t="s">
        <v>70</v>
      </c>
      <c r="E25" s="198">
        <v>108171692</v>
      </c>
      <c r="F25" s="185">
        <v>524232</v>
      </c>
      <c r="G25" s="185">
        <v>107647460</v>
      </c>
      <c r="H25" s="185">
        <v>162</v>
      </c>
      <c r="I25" s="185">
        <v>55374</v>
      </c>
      <c r="J25" s="81">
        <f t="shared" si="0"/>
        <v>2</v>
      </c>
      <c r="K25" s="432"/>
      <c r="L25" s="198">
        <v>108171692</v>
      </c>
      <c r="M25" s="185">
        <v>524232</v>
      </c>
      <c r="N25" s="185">
        <v>107647460</v>
      </c>
      <c r="O25" s="185">
        <v>162</v>
      </c>
      <c r="P25" s="242">
        <v>55374</v>
      </c>
      <c r="Q25" s="81">
        <f t="shared" si="1"/>
        <v>3</v>
      </c>
      <c r="R25" s="197">
        <v>106100206</v>
      </c>
      <c r="S25" s="79">
        <v>3104416</v>
      </c>
      <c r="T25" s="79">
        <v>102995790</v>
      </c>
      <c r="U25" s="79">
        <v>137.94999999999999</v>
      </c>
      <c r="V25" s="237">
        <v>62218</v>
      </c>
      <c r="W25" s="81">
        <f t="shared" si="2"/>
        <v>3</v>
      </c>
      <c r="X25" s="37"/>
      <c r="Y25" s="38"/>
      <c r="Z25"/>
      <c r="AA25" s="198">
        <v>113554065</v>
      </c>
      <c r="AB25" s="185">
        <v>524232</v>
      </c>
      <c r="AC25" s="185">
        <v>113029833</v>
      </c>
      <c r="AD25" s="185">
        <v>162</v>
      </c>
      <c r="AE25" s="185">
        <v>58143</v>
      </c>
      <c r="AF25" s="81">
        <f t="shared" si="3"/>
        <v>2</v>
      </c>
      <c r="AG25" s="432"/>
      <c r="AH25" s="198">
        <v>113554065</v>
      </c>
      <c r="AI25" s="185">
        <v>524232</v>
      </c>
      <c r="AJ25" s="185">
        <v>113029833</v>
      </c>
      <c r="AK25" s="185">
        <v>160</v>
      </c>
      <c r="AL25" s="242">
        <v>58870</v>
      </c>
      <c r="AM25" s="81">
        <f t="shared" si="4"/>
        <v>3</v>
      </c>
      <c r="AN25" s="197">
        <v>109867487</v>
      </c>
      <c r="AO25" s="79">
        <v>1728200</v>
      </c>
      <c r="AP25" s="79">
        <v>108139287</v>
      </c>
      <c r="AQ25" s="79">
        <v>131.5</v>
      </c>
      <c r="AR25" s="237">
        <v>68529</v>
      </c>
      <c r="AS25" s="81">
        <f t="shared" si="5"/>
        <v>2</v>
      </c>
      <c r="AT25" s="37"/>
      <c r="AU25" s="38"/>
    </row>
    <row r="26" spans="1:47" s="3" customFormat="1" ht="17.25" customHeight="1">
      <c r="A26" s="418"/>
      <c r="B26" s="418"/>
      <c r="C26" s="86" t="s">
        <v>71</v>
      </c>
      <c r="E26" s="196">
        <v>41754292</v>
      </c>
      <c r="F26" s="185">
        <v>163361</v>
      </c>
      <c r="G26" s="185">
        <v>41590931</v>
      </c>
      <c r="H26" s="185">
        <v>84</v>
      </c>
      <c r="I26" s="186">
        <v>41261</v>
      </c>
      <c r="J26" s="81">
        <f t="shared" si="0"/>
        <v>21</v>
      </c>
      <c r="K26" s="432"/>
      <c r="L26" s="83">
        <v>45754292</v>
      </c>
      <c r="M26" s="79">
        <v>163361</v>
      </c>
      <c r="N26" s="79">
        <v>45590931</v>
      </c>
      <c r="O26" s="79">
        <v>84</v>
      </c>
      <c r="P26" s="235">
        <v>45229</v>
      </c>
      <c r="Q26" s="81">
        <f t="shared" si="1"/>
        <v>13</v>
      </c>
      <c r="R26" s="83">
        <v>43714568</v>
      </c>
      <c r="S26" s="79">
        <v>101200</v>
      </c>
      <c r="T26" s="79">
        <v>43613368</v>
      </c>
      <c r="U26" s="79">
        <v>77.760000000000005</v>
      </c>
      <c r="V26" s="235">
        <v>46739</v>
      </c>
      <c r="W26" s="81">
        <f t="shared" si="2"/>
        <v>16</v>
      </c>
      <c r="X26" s="37"/>
      <c r="Y26" s="38"/>
      <c r="Z26"/>
      <c r="AA26" s="196">
        <v>43677838</v>
      </c>
      <c r="AB26" s="185">
        <v>163361</v>
      </c>
      <c r="AC26" s="185">
        <v>43514477</v>
      </c>
      <c r="AD26" s="185">
        <v>84</v>
      </c>
      <c r="AE26" s="186">
        <v>43169</v>
      </c>
      <c r="AF26" s="81">
        <f t="shared" si="3"/>
        <v>25</v>
      </c>
      <c r="AG26" s="432"/>
      <c r="AH26" s="83">
        <v>48677838</v>
      </c>
      <c r="AI26" s="79">
        <v>163361</v>
      </c>
      <c r="AJ26" s="79">
        <v>48514477</v>
      </c>
      <c r="AK26" s="79">
        <v>83.17</v>
      </c>
      <c r="AL26" s="235">
        <v>48610</v>
      </c>
      <c r="AM26" s="81">
        <f t="shared" si="4"/>
        <v>13</v>
      </c>
      <c r="AN26" s="83">
        <v>48647053</v>
      </c>
      <c r="AO26" s="79">
        <v>118475</v>
      </c>
      <c r="AP26" s="79">
        <v>48528578</v>
      </c>
      <c r="AQ26" s="79">
        <v>82.96</v>
      </c>
      <c r="AR26" s="235">
        <v>48747</v>
      </c>
      <c r="AS26" s="81">
        <f t="shared" si="5"/>
        <v>18</v>
      </c>
      <c r="AT26" s="37"/>
      <c r="AU26" s="38"/>
    </row>
    <row r="27" spans="1:47" s="3" customFormat="1" ht="17.25" customHeight="1">
      <c r="A27" s="418"/>
      <c r="B27" s="418"/>
      <c r="C27" s="86" t="s">
        <v>184</v>
      </c>
      <c r="E27" s="196">
        <v>52152177</v>
      </c>
      <c r="F27" s="185">
        <v>123612</v>
      </c>
      <c r="G27" s="185">
        <v>52028565</v>
      </c>
      <c r="H27" s="185">
        <v>102</v>
      </c>
      <c r="I27" s="186">
        <v>42507</v>
      </c>
      <c r="J27" s="81">
        <f t="shared" si="0"/>
        <v>17</v>
      </c>
      <c r="K27" s="432"/>
      <c r="L27" s="83">
        <v>56152177</v>
      </c>
      <c r="M27" s="79">
        <v>123612</v>
      </c>
      <c r="N27" s="79">
        <v>56028565</v>
      </c>
      <c r="O27" s="79">
        <v>102</v>
      </c>
      <c r="P27" s="235">
        <v>45775</v>
      </c>
      <c r="Q27" s="81">
        <f t="shared" si="1"/>
        <v>12</v>
      </c>
      <c r="R27" s="83">
        <v>56190376</v>
      </c>
      <c r="S27" s="79">
        <v>134500</v>
      </c>
      <c r="T27" s="79">
        <v>56055876</v>
      </c>
      <c r="U27" s="79">
        <v>84.85</v>
      </c>
      <c r="V27" s="235">
        <v>55054</v>
      </c>
      <c r="W27" s="81">
        <f t="shared" si="2"/>
        <v>7</v>
      </c>
      <c r="X27" s="37"/>
      <c r="Y27" s="38"/>
      <c r="Z27"/>
      <c r="AA27" s="196">
        <v>54753605</v>
      </c>
      <c r="AB27" s="185">
        <v>123612</v>
      </c>
      <c r="AC27" s="185">
        <v>54629993</v>
      </c>
      <c r="AD27" s="185">
        <v>102</v>
      </c>
      <c r="AE27" s="186">
        <v>44632</v>
      </c>
      <c r="AF27" s="81">
        <f t="shared" si="3"/>
        <v>21</v>
      </c>
      <c r="AG27" s="432"/>
      <c r="AH27" s="83">
        <v>62753605</v>
      </c>
      <c r="AI27" s="79">
        <v>123612</v>
      </c>
      <c r="AJ27" s="79">
        <v>62629993</v>
      </c>
      <c r="AK27" s="79">
        <v>102</v>
      </c>
      <c r="AL27" s="235">
        <v>51168</v>
      </c>
      <c r="AM27" s="81">
        <f t="shared" si="4"/>
        <v>9</v>
      </c>
      <c r="AN27" s="83">
        <v>61765983</v>
      </c>
      <c r="AO27" s="79">
        <v>123500</v>
      </c>
      <c r="AP27" s="79">
        <v>61642483</v>
      </c>
      <c r="AQ27" s="79">
        <v>89.66</v>
      </c>
      <c r="AR27" s="235">
        <v>57293</v>
      </c>
      <c r="AS27" s="81">
        <f t="shared" si="5"/>
        <v>9</v>
      </c>
      <c r="AT27" s="37"/>
      <c r="AU27" s="38"/>
    </row>
    <row r="28" spans="1:47" s="3" customFormat="1" ht="17.25" customHeight="1">
      <c r="A28" s="418"/>
      <c r="B28" s="418"/>
      <c r="C28" s="86" t="s">
        <v>94</v>
      </c>
      <c r="E28" s="196">
        <v>23091268</v>
      </c>
      <c r="F28" s="185">
        <v>29800</v>
      </c>
      <c r="G28" s="185">
        <v>23061468</v>
      </c>
      <c r="H28" s="185">
        <v>38</v>
      </c>
      <c r="I28" s="186">
        <v>50573</v>
      </c>
      <c r="J28" s="81">
        <f t="shared" si="0"/>
        <v>4</v>
      </c>
      <c r="K28" s="432"/>
      <c r="L28" s="83">
        <v>27091268</v>
      </c>
      <c r="M28" s="79">
        <v>29800</v>
      </c>
      <c r="N28" s="79">
        <v>27061468</v>
      </c>
      <c r="O28" s="79">
        <v>38</v>
      </c>
      <c r="P28" s="235">
        <v>59345</v>
      </c>
      <c r="Q28" s="81">
        <f t="shared" si="1"/>
        <v>2</v>
      </c>
      <c r="R28" s="83">
        <v>26486038</v>
      </c>
      <c r="S28" s="79">
        <v>0</v>
      </c>
      <c r="T28" s="79">
        <v>26486038</v>
      </c>
      <c r="U28" s="79">
        <v>34.57</v>
      </c>
      <c r="V28" s="235">
        <v>63846</v>
      </c>
      <c r="W28" s="81">
        <f t="shared" si="2"/>
        <v>2</v>
      </c>
      <c r="X28" s="37"/>
      <c r="Y28" s="38"/>
      <c r="Z28"/>
      <c r="AA28" s="196">
        <v>24244341</v>
      </c>
      <c r="AB28" s="185">
        <v>29800</v>
      </c>
      <c r="AC28" s="185">
        <v>24214541</v>
      </c>
      <c r="AD28" s="185">
        <v>38</v>
      </c>
      <c r="AE28" s="186">
        <v>53102</v>
      </c>
      <c r="AF28" s="81">
        <f t="shared" si="3"/>
        <v>6</v>
      </c>
      <c r="AG28" s="432"/>
      <c r="AH28" s="83">
        <v>29244341</v>
      </c>
      <c r="AI28" s="79">
        <v>29800</v>
      </c>
      <c r="AJ28" s="79">
        <v>29214541</v>
      </c>
      <c r="AK28" s="79">
        <v>38</v>
      </c>
      <c r="AL28" s="235">
        <v>64067</v>
      </c>
      <c r="AM28" s="81">
        <f t="shared" si="4"/>
        <v>2</v>
      </c>
      <c r="AN28" s="83">
        <v>28389501</v>
      </c>
      <c r="AO28" s="79">
        <v>0</v>
      </c>
      <c r="AP28" s="79">
        <v>28389501</v>
      </c>
      <c r="AQ28" s="79">
        <v>35.409999999999997</v>
      </c>
      <c r="AR28" s="235">
        <v>66811</v>
      </c>
      <c r="AS28" s="81">
        <f t="shared" si="5"/>
        <v>4</v>
      </c>
      <c r="AT28" s="37"/>
      <c r="AU28" s="38"/>
    </row>
    <row r="29" spans="1:47" s="3" customFormat="1" ht="17.25" customHeight="1">
      <c r="A29" s="418"/>
      <c r="B29" s="418"/>
      <c r="C29" s="136" t="s">
        <v>185</v>
      </c>
      <c r="E29" s="196">
        <v>8736609</v>
      </c>
      <c r="F29" s="185">
        <v>50769</v>
      </c>
      <c r="G29" s="185">
        <v>8685840</v>
      </c>
      <c r="H29" s="185">
        <v>15</v>
      </c>
      <c r="I29" s="186">
        <v>48255</v>
      </c>
      <c r="J29" s="81">
        <f t="shared" si="0"/>
        <v>7</v>
      </c>
      <c r="K29" s="432"/>
      <c r="L29" s="83">
        <v>8736609</v>
      </c>
      <c r="M29" s="79">
        <v>50769</v>
      </c>
      <c r="N29" s="79">
        <v>8685840</v>
      </c>
      <c r="O29" s="79">
        <v>14</v>
      </c>
      <c r="P29" s="235">
        <v>51701</v>
      </c>
      <c r="Q29" s="81">
        <f t="shared" si="1"/>
        <v>5</v>
      </c>
      <c r="R29" s="83">
        <v>8691390</v>
      </c>
      <c r="S29" s="79">
        <v>5550</v>
      </c>
      <c r="T29" s="79">
        <v>8685840</v>
      </c>
      <c r="U29" s="79">
        <v>12.03</v>
      </c>
      <c r="V29" s="235">
        <v>60168</v>
      </c>
      <c r="W29" s="81">
        <f t="shared" si="2"/>
        <v>5</v>
      </c>
      <c r="X29" s="37"/>
      <c r="Y29" s="38"/>
      <c r="Z29"/>
      <c r="AA29" s="196">
        <v>9170901</v>
      </c>
      <c r="AB29" s="185">
        <v>50769</v>
      </c>
      <c r="AC29" s="185">
        <v>9120132</v>
      </c>
      <c r="AD29" s="185">
        <v>14</v>
      </c>
      <c r="AE29" s="186">
        <v>54287</v>
      </c>
      <c r="AF29" s="81">
        <f t="shared" si="3"/>
        <v>5</v>
      </c>
      <c r="AG29" s="432"/>
      <c r="AH29" s="83">
        <v>9170901</v>
      </c>
      <c r="AI29" s="79">
        <v>50769</v>
      </c>
      <c r="AJ29" s="79">
        <v>9120132</v>
      </c>
      <c r="AK29" s="79">
        <v>14</v>
      </c>
      <c r="AL29" s="235">
        <v>54287</v>
      </c>
      <c r="AM29" s="81">
        <f t="shared" si="4"/>
        <v>6</v>
      </c>
      <c r="AN29" s="83">
        <v>9144081</v>
      </c>
      <c r="AO29" s="79">
        <v>23949</v>
      </c>
      <c r="AP29" s="79">
        <v>9120132</v>
      </c>
      <c r="AQ29" s="79">
        <v>11.67</v>
      </c>
      <c r="AR29" s="235">
        <v>65125</v>
      </c>
      <c r="AS29" s="81">
        <f t="shared" si="5"/>
        <v>5</v>
      </c>
      <c r="AT29" s="37"/>
      <c r="AU29" s="38"/>
    </row>
    <row r="30" spans="1:47" s="3" customFormat="1" ht="17.25" customHeight="1">
      <c r="A30" s="418"/>
      <c r="B30" s="418"/>
      <c r="C30" s="136" t="s">
        <v>228</v>
      </c>
      <c r="E30" s="196">
        <v>41996341</v>
      </c>
      <c r="F30" s="185">
        <v>300000</v>
      </c>
      <c r="G30" s="185">
        <v>41696341</v>
      </c>
      <c r="H30" s="185">
        <v>64</v>
      </c>
      <c r="I30" s="186">
        <v>54292</v>
      </c>
      <c r="J30" s="81">
        <f t="shared" si="0"/>
        <v>3</v>
      </c>
      <c r="K30" s="432"/>
      <c r="L30" s="196">
        <v>69710339</v>
      </c>
      <c r="M30" s="185">
        <v>300000</v>
      </c>
      <c r="N30" s="185">
        <v>69410339</v>
      </c>
      <c r="O30" s="185">
        <v>108</v>
      </c>
      <c r="P30" s="186">
        <v>53557</v>
      </c>
      <c r="Q30" s="81">
        <f t="shared" si="1"/>
        <v>4</v>
      </c>
      <c r="R30" s="196">
        <v>42318286</v>
      </c>
      <c r="S30" s="185">
        <v>487938</v>
      </c>
      <c r="T30" s="185">
        <v>41830348</v>
      </c>
      <c r="U30" s="185">
        <v>64.55</v>
      </c>
      <c r="V30" s="186">
        <v>54003</v>
      </c>
      <c r="W30" s="81">
        <f t="shared" si="2"/>
        <v>8</v>
      </c>
      <c r="X30" s="37"/>
      <c r="Y30" s="38"/>
      <c r="Z30"/>
      <c r="AA30" s="196">
        <v>73180856</v>
      </c>
      <c r="AB30" s="185">
        <v>300000</v>
      </c>
      <c r="AC30" s="185">
        <v>72880856</v>
      </c>
      <c r="AD30" s="185">
        <v>108</v>
      </c>
      <c r="AE30" s="186">
        <v>56235</v>
      </c>
      <c r="AF30" s="81">
        <f t="shared" si="3"/>
        <v>4</v>
      </c>
      <c r="AG30" s="432"/>
      <c r="AH30" s="196">
        <v>73180856</v>
      </c>
      <c r="AI30" s="185">
        <v>300000</v>
      </c>
      <c r="AJ30" s="185">
        <v>72880856</v>
      </c>
      <c r="AK30" s="185">
        <v>108</v>
      </c>
      <c r="AL30" s="186">
        <v>56235</v>
      </c>
      <c r="AM30" s="81">
        <f t="shared" si="4"/>
        <v>5</v>
      </c>
      <c r="AN30" s="196">
        <v>74593317</v>
      </c>
      <c r="AO30" s="185">
        <v>182400</v>
      </c>
      <c r="AP30" s="185">
        <v>74410917</v>
      </c>
      <c r="AQ30" s="185">
        <v>90.859999999999985</v>
      </c>
      <c r="AR30" s="186">
        <v>68247</v>
      </c>
      <c r="AS30" s="81">
        <f t="shared" si="5"/>
        <v>3</v>
      </c>
      <c r="AT30" s="37"/>
      <c r="AU30" s="38"/>
    </row>
    <row r="31" spans="1:47" s="3" customFormat="1" ht="17.25" customHeight="1">
      <c r="A31" s="418"/>
      <c r="B31" s="418"/>
      <c r="C31" s="136" t="s">
        <v>227</v>
      </c>
      <c r="E31" s="196"/>
      <c r="F31" s="185"/>
      <c r="G31" s="185"/>
      <c r="H31" s="185"/>
      <c r="I31" s="186"/>
      <c r="J31" s="294"/>
      <c r="K31" s="432"/>
      <c r="L31" s="196"/>
      <c r="M31" s="185"/>
      <c r="N31" s="185"/>
      <c r="O31" s="185"/>
      <c r="P31" s="186"/>
      <c r="Q31" s="294"/>
      <c r="R31" s="196"/>
      <c r="S31" s="185"/>
      <c r="T31" s="185"/>
      <c r="U31" s="185"/>
      <c r="V31" s="186"/>
      <c r="W31" s="294"/>
      <c r="X31" s="37"/>
      <c r="Y31" s="38"/>
      <c r="Z31"/>
      <c r="AA31" s="196">
        <v>0</v>
      </c>
      <c r="AB31" s="185">
        <v>0</v>
      </c>
      <c r="AC31" s="185">
        <v>0</v>
      </c>
      <c r="AD31" s="185">
        <v>0</v>
      </c>
      <c r="AE31" s="186">
        <v>0</v>
      </c>
      <c r="AF31" s="294"/>
      <c r="AG31" s="432"/>
      <c r="AH31" s="196">
        <v>17046470</v>
      </c>
      <c r="AI31" s="185">
        <v>0</v>
      </c>
      <c r="AJ31" s="185">
        <v>17046470</v>
      </c>
      <c r="AK31" s="185">
        <v>40</v>
      </c>
      <c r="AL31" s="186">
        <v>35513</v>
      </c>
      <c r="AM31" s="294"/>
      <c r="AN31" s="196">
        <v>21929175</v>
      </c>
      <c r="AO31" s="185">
        <v>646338</v>
      </c>
      <c r="AP31" s="185">
        <v>21282837</v>
      </c>
      <c r="AQ31" s="185">
        <v>31.14</v>
      </c>
      <c r="AR31" s="186">
        <v>56955</v>
      </c>
      <c r="AS31" s="294"/>
      <c r="AT31" s="37"/>
      <c r="AU31" s="38"/>
    </row>
    <row r="32" spans="1:47" s="1" customFormat="1" ht="17.25" customHeight="1" thickBot="1">
      <c r="A32" s="419"/>
      <c r="B32" s="419"/>
      <c r="C32" s="90" t="s">
        <v>64</v>
      </c>
      <c r="E32" s="212">
        <f>SUM(E25:E31)</f>
        <v>275902379</v>
      </c>
      <c r="F32" s="212">
        <f t="shared" ref="F32:H32" si="41">SUM(F25:F31)</f>
        <v>1191774</v>
      </c>
      <c r="G32" s="212">
        <f t="shared" si="41"/>
        <v>274710605</v>
      </c>
      <c r="H32" s="212">
        <f t="shared" si="41"/>
        <v>465</v>
      </c>
      <c r="I32" s="201">
        <f>IF(H32=0,0,ROUND(G32/H32/12,0))</f>
        <v>49231</v>
      </c>
      <c r="J32" s="299">
        <f t="shared" ref="J32:J49" si="42">RANK(I32,I$6:I$50,0)</f>
        <v>6</v>
      </c>
      <c r="K32" s="432"/>
      <c r="L32" s="212">
        <f>SUM(L25:L31)</f>
        <v>315616377</v>
      </c>
      <c r="M32" s="212">
        <f t="shared" ref="M32" si="43">SUM(M25:M31)</f>
        <v>1191774</v>
      </c>
      <c r="N32" s="212">
        <f t="shared" ref="N32" si="44">SUM(N25:N31)</f>
        <v>314424603</v>
      </c>
      <c r="O32" s="212">
        <f t="shared" ref="O32" si="45">SUM(O25:O31)</f>
        <v>508</v>
      </c>
      <c r="P32" s="201">
        <f>IF(O32=0,0,ROUND(N32/O32/12,0))</f>
        <v>51579</v>
      </c>
      <c r="Q32" s="299">
        <f t="shared" ref="Q32:Q49" si="46">RANK(P32,P$6:P$50,0)</f>
        <v>6</v>
      </c>
      <c r="R32" s="212">
        <f>SUM(R25:R31)</f>
        <v>283500864</v>
      </c>
      <c r="S32" s="212">
        <f t="shared" ref="S32" si="47">SUM(S25:S31)</f>
        <v>3833604</v>
      </c>
      <c r="T32" s="212">
        <f t="shared" ref="T32" si="48">SUM(T25:T31)</f>
        <v>279667260</v>
      </c>
      <c r="U32" s="212">
        <f t="shared" ref="U32" si="49">SUM(U25:U31)</f>
        <v>411.70999999999992</v>
      </c>
      <c r="V32" s="201">
        <f>IF(U32=0,0,ROUND(T32/U32/12,0))</f>
        <v>56607</v>
      </c>
      <c r="W32" s="299">
        <f t="shared" ref="W32:W49" si="50">RANK(V32,V$6:V$50,0)</f>
        <v>6</v>
      </c>
      <c r="X32" s="37"/>
      <c r="Y32" s="38"/>
      <c r="Z32"/>
      <c r="AA32" s="212">
        <v>318581606</v>
      </c>
      <c r="AB32" s="210">
        <v>1191774</v>
      </c>
      <c r="AC32" s="210">
        <v>317389832</v>
      </c>
      <c r="AD32" s="210">
        <v>508</v>
      </c>
      <c r="AE32" s="211">
        <v>52065</v>
      </c>
      <c r="AF32" s="299">
        <f t="shared" ref="AF32:AF49" si="51">RANK(AE32,AE$6:AE$50,0)</f>
        <v>8</v>
      </c>
      <c r="AG32" s="432"/>
      <c r="AH32" s="217">
        <v>353628076</v>
      </c>
      <c r="AI32" s="218">
        <v>1191774</v>
      </c>
      <c r="AJ32" s="218">
        <v>352436302</v>
      </c>
      <c r="AK32" s="218">
        <v>545.17000000000007</v>
      </c>
      <c r="AL32" s="241">
        <v>53873</v>
      </c>
      <c r="AM32" s="299">
        <f t="shared" ref="AM32:AM49" si="52">RANK(AL32,AL$6:AL$50,0)</f>
        <v>7</v>
      </c>
      <c r="AN32" s="193">
        <v>354336597</v>
      </c>
      <c r="AO32" s="209">
        <v>2822862</v>
      </c>
      <c r="AP32" s="209">
        <v>351513735</v>
      </c>
      <c r="AQ32" s="209">
        <v>473.19999999999993</v>
      </c>
      <c r="AR32" s="264">
        <v>61904</v>
      </c>
      <c r="AS32" s="299">
        <f t="shared" ref="AS32:AS49" si="53">RANK(AR32,AR$6:AR$50,0)</f>
        <v>7</v>
      </c>
      <c r="AT32" s="37"/>
      <c r="AU32" s="38"/>
    </row>
    <row r="33" spans="1:47" s="3" customFormat="1" ht="17.25" customHeight="1" thickBot="1">
      <c r="A33" s="410">
        <v>329</v>
      </c>
      <c r="B33" s="410" t="s">
        <v>31</v>
      </c>
      <c r="C33" s="84" t="s">
        <v>72</v>
      </c>
      <c r="E33" s="206">
        <v>679637917</v>
      </c>
      <c r="F33" s="205">
        <v>1000000</v>
      </c>
      <c r="G33" s="205">
        <v>678637917</v>
      </c>
      <c r="H33" s="205">
        <v>1321.6299999999999</v>
      </c>
      <c r="I33" s="205">
        <v>42790</v>
      </c>
      <c r="J33" s="81">
        <f t="shared" si="42"/>
        <v>16</v>
      </c>
      <c r="K33" s="432"/>
      <c r="L33" s="206">
        <v>679637917</v>
      </c>
      <c r="M33" s="205">
        <v>1000000</v>
      </c>
      <c r="N33" s="205">
        <v>678637917</v>
      </c>
      <c r="O33" s="205">
        <v>1268.23</v>
      </c>
      <c r="P33" s="240">
        <v>44592</v>
      </c>
      <c r="Q33" s="81">
        <f t="shared" si="46"/>
        <v>16</v>
      </c>
      <c r="R33" s="204">
        <v>678006696</v>
      </c>
      <c r="S33" s="203">
        <v>3726528</v>
      </c>
      <c r="T33" s="203">
        <v>674280168</v>
      </c>
      <c r="U33" s="203">
        <v>1227.06</v>
      </c>
      <c r="V33" s="215">
        <v>45792</v>
      </c>
      <c r="W33" s="81">
        <f t="shared" si="50"/>
        <v>20</v>
      </c>
      <c r="X33" s="37"/>
      <c r="Y33" s="38"/>
      <c r="Z33"/>
      <c r="AA33" s="206">
        <v>713569813</v>
      </c>
      <c r="AB33" s="205">
        <v>1000000</v>
      </c>
      <c r="AC33" s="205">
        <v>712569813</v>
      </c>
      <c r="AD33" s="205">
        <v>1268.5999999999999</v>
      </c>
      <c r="AE33" s="205">
        <v>46808</v>
      </c>
      <c r="AF33" s="81">
        <f t="shared" si="51"/>
        <v>13</v>
      </c>
      <c r="AG33" s="432"/>
      <c r="AH33" s="206">
        <v>724009371</v>
      </c>
      <c r="AI33" s="205">
        <v>1000000</v>
      </c>
      <c r="AJ33" s="205">
        <v>723009371</v>
      </c>
      <c r="AK33" s="205">
        <v>1268.6000000000001</v>
      </c>
      <c r="AL33" s="240">
        <v>47494</v>
      </c>
      <c r="AM33" s="81">
        <f t="shared" si="52"/>
        <v>15</v>
      </c>
      <c r="AN33" s="204">
        <v>718810680</v>
      </c>
      <c r="AO33" s="203">
        <v>1582718</v>
      </c>
      <c r="AP33" s="203">
        <v>717227962</v>
      </c>
      <c r="AQ33" s="203">
        <v>1227.18</v>
      </c>
      <c r="AR33" s="215">
        <v>48704</v>
      </c>
      <c r="AS33" s="81">
        <f t="shared" si="53"/>
        <v>19</v>
      </c>
      <c r="AT33" s="37"/>
      <c r="AU33" s="38"/>
    </row>
    <row r="34" spans="1:47" s="3" customFormat="1" ht="17.25" customHeight="1" thickBot="1">
      <c r="A34" s="410"/>
      <c r="B34" s="410"/>
      <c r="C34" s="86" t="s">
        <v>90</v>
      </c>
      <c r="E34" s="196">
        <v>468221845</v>
      </c>
      <c r="F34" s="185">
        <v>10080411</v>
      </c>
      <c r="G34" s="185">
        <v>458141434</v>
      </c>
      <c r="H34" s="185">
        <v>1066</v>
      </c>
      <c r="I34" s="186">
        <v>35815</v>
      </c>
      <c r="J34" s="81">
        <f t="shared" si="42"/>
        <v>37</v>
      </c>
      <c r="K34" s="432"/>
      <c r="L34" s="83">
        <v>479821845</v>
      </c>
      <c r="M34" s="79">
        <v>11680411</v>
      </c>
      <c r="N34" s="79">
        <v>468141434</v>
      </c>
      <c r="O34" s="79">
        <v>1064.25</v>
      </c>
      <c r="P34" s="235">
        <v>36657</v>
      </c>
      <c r="Q34" s="81">
        <f t="shared" si="46"/>
        <v>40</v>
      </c>
      <c r="R34" s="83">
        <v>479457675</v>
      </c>
      <c r="S34" s="79">
        <v>9206032</v>
      </c>
      <c r="T34" s="79">
        <v>470251643</v>
      </c>
      <c r="U34" s="79">
        <v>1031.79</v>
      </c>
      <c r="V34" s="235">
        <v>37980</v>
      </c>
      <c r="W34" s="81">
        <f t="shared" si="50"/>
        <v>42</v>
      </c>
      <c r="X34" s="37"/>
      <c r="Y34" s="38"/>
      <c r="Z34"/>
      <c r="AA34" s="196">
        <v>486302137</v>
      </c>
      <c r="AB34" s="185">
        <v>5846955</v>
      </c>
      <c r="AC34" s="185">
        <v>480455182</v>
      </c>
      <c r="AD34" s="185">
        <v>1066</v>
      </c>
      <c r="AE34" s="186">
        <v>37559</v>
      </c>
      <c r="AF34" s="81">
        <f t="shared" si="51"/>
        <v>37</v>
      </c>
      <c r="AG34" s="432"/>
      <c r="AH34" s="83">
        <v>502692137</v>
      </c>
      <c r="AI34" s="79">
        <v>12236955</v>
      </c>
      <c r="AJ34" s="79">
        <v>490455182</v>
      </c>
      <c r="AK34" s="79">
        <v>1036.75</v>
      </c>
      <c r="AL34" s="235">
        <v>39422</v>
      </c>
      <c r="AM34" s="81">
        <f t="shared" si="52"/>
        <v>36</v>
      </c>
      <c r="AN34" s="83">
        <v>507864710</v>
      </c>
      <c r="AO34" s="79">
        <v>12287710</v>
      </c>
      <c r="AP34" s="79">
        <v>495577000</v>
      </c>
      <c r="AQ34" s="79">
        <v>1013.9200000000001</v>
      </c>
      <c r="AR34" s="235">
        <v>40731</v>
      </c>
      <c r="AS34" s="81">
        <f t="shared" si="53"/>
        <v>43</v>
      </c>
      <c r="AT34" s="37"/>
      <c r="AU34" s="38"/>
    </row>
    <row r="35" spans="1:47" s="3" customFormat="1" ht="17.25" customHeight="1" thickBot="1">
      <c r="A35" s="410"/>
      <c r="B35" s="410"/>
      <c r="C35" s="86" t="s">
        <v>73</v>
      </c>
      <c r="E35" s="196">
        <v>285519372</v>
      </c>
      <c r="F35" s="185">
        <v>1249282</v>
      </c>
      <c r="G35" s="185">
        <v>284270090</v>
      </c>
      <c r="H35" s="185">
        <v>559</v>
      </c>
      <c r="I35" s="186">
        <v>42378</v>
      </c>
      <c r="J35" s="81">
        <f t="shared" si="42"/>
        <v>19</v>
      </c>
      <c r="K35" s="432"/>
      <c r="L35" s="83">
        <v>285519372</v>
      </c>
      <c r="M35" s="79">
        <v>1249282</v>
      </c>
      <c r="N35" s="79">
        <v>284270090</v>
      </c>
      <c r="O35" s="79">
        <v>549</v>
      </c>
      <c r="P35" s="235">
        <v>43150</v>
      </c>
      <c r="Q35" s="81">
        <f t="shared" si="46"/>
        <v>21</v>
      </c>
      <c r="R35" s="83">
        <v>283148234</v>
      </c>
      <c r="S35" s="79">
        <v>1257269</v>
      </c>
      <c r="T35" s="79">
        <v>281890965</v>
      </c>
      <c r="U35" s="79">
        <v>521.26</v>
      </c>
      <c r="V35" s="235">
        <v>45066</v>
      </c>
      <c r="W35" s="81">
        <f t="shared" si="50"/>
        <v>23</v>
      </c>
      <c r="X35" s="37"/>
      <c r="Y35" s="38"/>
      <c r="Z35"/>
      <c r="AA35" s="196">
        <v>299732877</v>
      </c>
      <c r="AB35" s="185">
        <v>1249282</v>
      </c>
      <c r="AC35" s="185">
        <v>298483595</v>
      </c>
      <c r="AD35" s="185">
        <v>550</v>
      </c>
      <c r="AE35" s="186">
        <v>45225</v>
      </c>
      <c r="AF35" s="81">
        <f t="shared" si="51"/>
        <v>19</v>
      </c>
      <c r="AG35" s="432"/>
      <c r="AH35" s="83">
        <v>304357877</v>
      </c>
      <c r="AI35" s="79">
        <v>1249282</v>
      </c>
      <c r="AJ35" s="79">
        <v>303108595</v>
      </c>
      <c r="AK35" s="79">
        <v>545</v>
      </c>
      <c r="AL35" s="235">
        <v>46347</v>
      </c>
      <c r="AM35" s="81">
        <f t="shared" si="52"/>
        <v>16</v>
      </c>
      <c r="AN35" s="83">
        <v>300600029</v>
      </c>
      <c r="AO35" s="79">
        <v>1246268</v>
      </c>
      <c r="AP35" s="79">
        <v>299353761</v>
      </c>
      <c r="AQ35" s="79">
        <v>516.91999999999996</v>
      </c>
      <c r="AR35" s="235">
        <v>48259</v>
      </c>
      <c r="AS35" s="81">
        <f t="shared" si="53"/>
        <v>22</v>
      </c>
      <c r="AT35" s="37"/>
      <c r="AU35" s="38"/>
    </row>
    <row r="36" spans="1:47" s="3" customFormat="1" ht="17.25" customHeight="1" thickBot="1">
      <c r="A36" s="410"/>
      <c r="B36" s="410"/>
      <c r="C36" s="86" t="s">
        <v>108</v>
      </c>
      <c r="E36" s="196">
        <v>29813009</v>
      </c>
      <c r="F36" s="185">
        <v>60703</v>
      </c>
      <c r="G36" s="185">
        <v>29752306</v>
      </c>
      <c r="H36" s="185">
        <v>61</v>
      </c>
      <c r="I36" s="186">
        <v>40645</v>
      </c>
      <c r="J36" s="81">
        <f t="shared" si="42"/>
        <v>24</v>
      </c>
      <c r="K36" s="432"/>
      <c r="L36" s="83">
        <v>29813009</v>
      </c>
      <c r="M36" s="79">
        <v>60703</v>
      </c>
      <c r="N36" s="79">
        <v>29752306</v>
      </c>
      <c r="O36" s="79">
        <v>61</v>
      </c>
      <c r="P36" s="235">
        <v>40645</v>
      </c>
      <c r="Q36" s="81">
        <f t="shared" si="46"/>
        <v>27</v>
      </c>
      <c r="R36" s="83">
        <v>28389485</v>
      </c>
      <c r="S36" s="79">
        <v>152424</v>
      </c>
      <c r="T36" s="79">
        <v>28237061</v>
      </c>
      <c r="U36" s="79">
        <v>53.14</v>
      </c>
      <c r="V36" s="235">
        <v>44281</v>
      </c>
      <c r="W36" s="81">
        <f t="shared" si="50"/>
        <v>26</v>
      </c>
      <c r="X36" s="37"/>
      <c r="Y36" s="38"/>
      <c r="Z36"/>
      <c r="AA36" s="196">
        <v>31300624</v>
      </c>
      <c r="AB36" s="185">
        <v>60703</v>
      </c>
      <c r="AC36" s="185">
        <v>31239921</v>
      </c>
      <c r="AD36" s="185">
        <v>61</v>
      </c>
      <c r="AE36" s="186">
        <v>42677</v>
      </c>
      <c r="AF36" s="81">
        <f t="shared" si="51"/>
        <v>29</v>
      </c>
      <c r="AG36" s="432"/>
      <c r="AH36" s="83">
        <v>31300624</v>
      </c>
      <c r="AI36" s="79">
        <v>120703</v>
      </c>
      <c r="AJ36" s="79">
        <v>31179921</v>
      </c>
      <c r="AK36" s="79">
        <v>61</v>
      </c>
      <c r="AL36" s="235">
        <v>42596</v>
      </c>
      <c r="AM36" s="81">
        <f t="shared" si="52"/>
        <v>25</v>
      </c>
      <c r="AN36" s="83">
        <v>29052534</v>
      </c>
      <c r="AO36" s="79">
        <v>93434</v>
      </c>
      <c r="AP36" s="79">
        <v>28959100</v>
      </c>
      <c r="AQ36" s="79">
        <v>52.72</v>
      </c>
      <c r="AR36" s="235">
        <v>45775</v>
      </c>
      <c r="AS36" s="81">
        <f t="shared" si="53"/>
        <v>30</v>
      </c>
      <c r="AT36" s="37"/>
      <c r="AU36" s="38"/>
    </row>
    <row r="37" spans="1:47" s="3" customFormat="1" ht="17.25" customHeight="1" thickBot="1">
      <c r="A37" s="410"/>
      <c r="B37" s="410"/>
      <c r="C37" s="87" t="s">
        <v>86</v>
      </c>
      <c r="E37" s="196">
        <v>31228661</v>
      </c>
      <c r="F37" s="185">
        <v>222944</v>
      </c>
      <c r="G37" s="185">
        <v>31005717</v>
      </c>
      <c r="H37" s="185">
        <v>77</v>
      </c>
      <c r="I37" s="186">
        <v>33556</v>
      </c>
      <c r="J37" s="81">
        <f t="shared" si="42"/>
        <v>39</v>
      </c>
      <c r="K37" s="432"/>
      <c r="L37" s="83">
        <v>31228661</v>
      </c>
      <c r="M37" s="79">
        <v>222944</v>
      </c>
      <c r="N37" s="79">
        <v>31005717</v>
      </c>
      <c r="O37" s="79">
        <v>77</v>
      </c>
      <c r="P37" s="235">
        <v>33556</v>
      </c>
      <c r="Q37" s="81">
        <f t="shared" si="46"/>
        <v>43</v>
      </c>
      <c r="R37" s="83">
        <v>51414597</v>
      </c>
      <c r="S37" s="79">
        <v>222944</v>
      </c>
      <c r="T37" s="79">
        <v>51191653</v>
      </c>
      <c r="U37" s="79">
        <v>91.25</v>
      </c>
      <c r="V37" s="235">
        <v>46750</v>
      </c>
      <c r="W37" s="81">
        <f t="shared" si="50"/>
        <v>15</v>
      </c>
      <c r="X37" s="37"/>
      <c r="Y37" s="38"/>
      <c r="Z37"/>
      <c r="AA37" s="196">
        <v>32778947</v>
      </c>
      <c r="AB37" s="185">
        <v>222944</v>
      </c>
      <c r="AC37" s="185">
        <v>32556003</v>
      </c>
      <c r="AD37" s="185">
        <v>77</v>
      </c>
      <c r="AE37" s="186">
        <v>35234</v>
      </c>
      <c r="AF37" s="81">
        <f t="shared" si="51"/>
        <v>43</v>
      </c>
      <c r="AG37" s="432"/>
      <c r="AH37" s="83">
        <v>32778947</v>
      </c>
      <c r="AI37" s="79">
        <v>222944</v>
      </c>
      <c r="AJ37" s="79">
        <v>32556003</v>
      </c>
      <c r="AK37" s="79">
        <v>77</v>
      </c>
      <c r="AL37" s="235">
        <v>35234</v>
      </c>
      <c r="AM37" s="81">
        <f t="shared" si="52"/>
        <v>44</v>
      </c>
      <c r="AN37" s="83">
        <v>53809423</v>
      </c>
      <c r="AO37" s="79">
        <v>222944</v>
      </c>
      <c r="AP37" s="79">
        <v>53586479</v>
      </c>
      <c r="AQ37" s="79">
        <v>91</v>
      </c>
      <c r="AR37" s="235">
        <v>49072</v>
      </c>
      <c r="AS37" s="81">
        <f t="shared" si="53"/>
        <v>16</v>
      </c>
      <c r="AT37" s="37"/>
      <c r="AU37" s="38"/>
    </row>
    <row r="38" spans="1:47" s="3" customFormat="1" ht="17.25" customHeight="1" thickBot="1">
      <c r="A38" s="410"/>
      <c r="B38" s="410"/>
      <c r="C38" s="87" t="s">
        <v>109</v>
      </c>
      <c r="E38" s="196">
        <v>608749849</v>
      </c>
      <c r="F38" s="185">
        <v>11123206</v>
      </c>
      <c r="G38" s="185">
        <v>597626643</v>
      </c>
      <c r="H38" s="185">
        <v>1243</v>
      </c>
      <c r="I38" s="186">
        <v>40066</v>
      </c>
      <c r="J38" s="81">
        <f t="shared" si="42"/>
        <v>27</v>
      </c>
      <c r="K38" s="432"/>
      <c r="L38" s="83">
        <v>628749849</v>
      </c>
      <c r="M38" s="79">
        <v>11123206</v>
      </c>
      <c r="N38" s="79">
        <v>617626643</v>
      </c>
      <c r="O38" s="79">
        <v>1171</v>
      </c>
      <c r="P38" s="235">
        <v>43953</v>
      </c>
      <c r="Q38" s="81">
        <f t="shared" si="46"/>
        <v>19</v>
      </c>
      <c r="R38" s="83">
        <v>622253981</v>
      </c>
      <c r="S38" s="79">
        <v>9207218</v>
      </c>
      <c r="T38" s="79">
        <v>613046763</v>
      </c>
      <c r="U38" s="79">
        <v>1132.3000000000002</v>
      </c>
      <c r="V38" s="235">
        <v>45118</v>
      </c>
      <c r="W38" s="81">
        <f t="shared" si="50"/>
        <v>22</v>
      </c>
      <c r="X38" s="37"/>
      <c r="Y38" s="38"/>
      <c r="Z38"/>
      <c r="AA38" s="196">
        <v>688433401</v>
      </c>
      <c r="AB38" s="185">
        <v>11123206</v>
      </c>
      <c r="AC38" s="185">
        <v>677310195</v>
      </c>
      <c r="AD38" s="185">
        <v>1171</v>
      </c>
      <c r="AE38" s="186">
        <v>48200</v>
      </c>
      <c r="AF38" s="81">
        <f t="shared" si="51"/>
        <v>12</v>
      </c>
      <c r="AG38" s="432"/>
      <c r="AH38" s="83">
        <v>688433401</v>
      </c>
      <c r="AI38" s="79">
        <v>11123206</v>
      </c>
      <c r="AJ38" s="79">
        <v>677310195</v>
      </c>
      <c r="AK38" s="79">
        <v>1171</v>
      </c>
      <c r="AL38" s="235">
        <v>48200</v>
      </c>
      <c r="AM38" s="81">
        <f t="shared" si="52"/>
        <v>14</v>
      </c>
      <c r="AN38" s="83">
        <v>652230976</v>
      </c>
      <c r="AO38" s="79">
        <v>7458287</v>
      </c>
      <c r="AP38" s="79">
        <v>644772689</v>
      </c>
      <c r="AQ38" s="79">
        <v>1118.74</v>
      </c>
      <c r="AR38" s="235">
        <v>48028</v>
      </c>
      <c r="AS38" s="81">
        <f t="shared" si="53"/>
        <v>23</v>
      </c>
      <c r="AT38" s="37"/>
      <c r="AU38" s="38"/>
    </row>
    <row r="39" spans="1:47" s="1" customFormat="1" ht="17.25" customHeight="1" thickBot="1">
      <c r="A39" s="410"/>
      <c r="B39" s="410"/>
      <c r="C39" s="90" t="s">
        <v>64</v>
      </c>
      <c r="D39" s="5"/>
      <c r="E39" s="207">
        <f>SUM(E33:E38)</f>
        <v>2103170653</v>
      </c>
      <c r="F39" s="207">
        <f t="shared" ref="F39:H39" si="54">SUM(F33:F38)</f>
        <v>23736546</v>
      </c>
      <c r="G39" s="207">
        <f t="shared" si="54"/>
        <v>2079434107</v>
      </c>
      <c r="H39" s="207">
        <f t="shared" si="54"/>
        <v>4327.63</v>
      </c>
      <c r="I39" s="201">
        <f>IF(H39=0,0,ROUND(G39/H39/12,0))</f>
        <v>40042</v>
      </c>
      <c r="J39" s="299">
        <f t="shared" si="42"/>
        <v>28</v>
      </c>
      <c r="K39" s="432"/>
      <c r="L39" s="207">
        <f>SUM(L33:L38)</f>
        <v>2134770653</v>
      </c>
      <c r="M39" s="207">
        <f t="shared" ref="M39" si="55">SUM(M33:M38)</f>
        <v>25336546</v>
      </c>
      <c r="N39" s="207">
        <f t="shared" ref="N39" si="56">SUM(N33:N38)</f>
        <v>2109434107</v>
      </c>
      <c r="O39" s="207">
        <f t="shared" ref="O39" si="57">SUM(O33:O38)</f>
        <v>4190.4799999999996</v>
      </c>
      <c r="P39" s="201">
        <f>IF(O39=0,0,ROUND(N39/O39/12,0))</f>
        <v>41949</v>
      </c>
      <c r="Q39" s="299">
        <f t="shared" si="46"/>
        <v>23</v>
      </c>
      <c r="R39" s="207">
        <f>SUM(R33:R38)</f>
        <v>2142670668</v>
      </c>
      <c r="S39" s="207">
        <f t="shared" ref="S39" si="58">SUM(S33:S38)</f>
        <v>23772415</v>
      </c>
      <c r="T39" s="207">
        <f t="shared" ref="T39" si="59">SUM(T33:T38)</f>
        <v>2118898253</v>
      </c>
      <c r="U39" s="207">
        <f t="shared" ref="U39" si="60">SUM(U33:U38)</f>
        <v>4056.7999999999997</v>
      </c>
      <c r="V39" s="201">
        <f>IF(U39=0,0,ROUND(T39/U39/12,0))</f>
        <v>43526</v>
      </c>
      <c r="W39" s="299">
        <f t="shared" si="50"/>
        <v>29</v>
      </c>
      <c r="X39" s="37"/>
      <c r="Y39" s="38"/>
      <c r="Z39"/>
      <c r="AA39" s="207">
        <v>2252117799</v>
      </c>
      <c r="AB39" s="200">
        <v>19503090</v>
      </c>
      <c r="AC39" s="200">
        <v>2232614709</v>
      </c>
      <c r="AD39" s="200">
        <v>4193.6000000000004</v>
      </c>
      <c r="AE39" s="201">
        <v>44366</v>
      </c>
      <c r="AF39" s="299">
        <f t="shared" si="51"/>
        <v>22</v>
      </c>
      <c r="AG39" s="432"/>
      <c r="AH39" s="217">
        <v>2283572357</v>
      </c>
      <c r="AI39" s="218">
        <v>25953090</v>
      </c>
      <c r="AJ39" s="218">
        <v>2257619267</v>
      </c>
      <c r="AK39" s="218">
        <v>4159.3500000000004</v>
      </c>
      <c r="AL39" s="241">
        <v>45232</v>
      </c>
      <c r="AM39" s="299">
        <f t="shared" si="52"/>
        <v>18</v>
      </c>
      <c r="AN39" s="143">
        <v>2262368352</v>
      </c>
      <c r="AO39" s="199">
        <v>22891361</v>
      </c>
      <c r="AP39" s="199">
        <v>2239476991</v>
      </c>
      <c r="AQ39" s="199">
        <v>4020.4800000000005</v>
      </c>
      <c r="AR39" s="236">
        <v>46418</v>
      </c>
      <c r="AS39" s="299">
        <f t="shared" si="53"/>
        <v>29</v>
      </c>
      <c r="AT39" s="37"/>
      <c r="AU39" s="38"/>
    </row>
    <row r="40" spans="1:47" s="3" customFormat="1" ht="16.5" customHeight="1" thickBot="1">
      <c r="A40" s="410">
        <v>333</v>
      </c>
      <c r="B40" s="410" t="s">
        <v>33</v>
      </c>
      <c r="C40" s="84" t="s">
        <v>74</v>
      </c>
      <c r="E40" s="198">
        <v>308560419</v>
      </c>
      <c r="F40" s="185">
        <v>11386164</v>
      </c>
      <c r="G40" s="185">
        <v>297174255</v>
      </c>
      <c r="H40" s="185">
        <v>515.70000000000005</v>
      </c>
      <c r="I40" s="185">
        <v>48021</v>
      </c>
      <c r="J40" s="81">
        <f t="shared" si="42"/>
        <v>8</v>
      </c>
      <c r="K40" s="432"/>
      <c r="L40" s="198">
        <v>327760419</v>
      </c>
      <c r="M40" s="185">
        <v>11386164</v>
      </c>
      <c r="N40" s="185">
        <v>316374255</v>
      </c>
      <c r="O40" s="185">
        <v>513.78</v>
      </c>
      <c r="P40" s="242">
        <v>51315</v>
      </c>
      <c r="Q40" s="81">
        <f t="shared" si="46"/>
        <v>7</v>
      </c>
      <c r="R40" s="197">
        <v>320071509</v>
      </c>
      <c r="S40" s="79">
        <v>9975621</v>
      </c>
      <c r="T40" s="79">
        <v>310095888</v>
      </c>
      <c r="U40" s="79">
        <v>490.44</v>
      </c>
      <c r="V40" s="237">
        <v>52690</v>
      </c>
      <c r="W40" s="81">
        <f t="shared" si="50"/>
        <v>9</v>
      </c>
      <c r="X40" s="37"/>
      <c r="Y40" s="38"/>
      <c r="Z40"/>
      <c r="AA40" s="198">
        <v>328402477</v>
      </c>
      <c r="AB40" s="185">
        <v>17536164</v>
      </c>
      <c r="AC40" s="185">
        <v>310866313</v>
      </c>
      <c r="AD40" s="185">
        <v>513.70000000000005</v>
      </c>
      <c r="AE40" s="185">
        <v>50429</v>
      </c>
      <c r="AF40" s="81">
        <f t="shared" si="51"/>
        <v>9</v>
      </c>
      <c r="AG40" s="432"/>
      <c r="AH40" s="198">
        <v>329792388</v>
      </c>
      <c r="AI40" s="185">
        <v>15736164</v>
      </c>
      <c r="AJ40" s="185">
        <v>314056224</v>
      </c>
      <c r="AK40" s="185">
        <v>512.70000000000005</v>
      </c>
      <c r="AL40" s="242">
        <v>51046</v>
      </c>
      <c r="AM40" s="81">
        <f t="shared" si="52"/>
        <v>11</v>
      </c>
      <c r="AN40" s="197">
        <v>332327139</v>
      </c>
      <c r="AO40" s="79">
        <v>15345252</v>
      </c>
      <c r="AP40" s="79">
        <v>316981887</v>
      </c>
      <c r="AQ40" s="79">
        <v>487.43</v>
      </c>
      <c r="AR40" s="237">
        <v>54193</v>
      </c>
      <c r="AS40" s="81">
        <f t="shared" si="53"/>
        <v>11</v>
      </c>
      <c r="AT40" s="37"/>
      <c r="AU40" s="38"/>
    </row>
    <row r="41" spans="1:47" s="1" customFormat="1" ht="17.25" customHeight="1" thickBot="1">
      <c r="A41" s="410"/>
      <c r="B41" s="410"/>
      <c r="C41" s="90" t="s">
        <v>64</v>
      </c>
      <c r="E41" s="212">
        <f>E40</f>
        <v>308560419</v>
      </c>
      <c r="F41" s="212">
        <f t="shared" ref="F41:H41" si="61">F40</f>
        <v>11386164</v>
      </c>
      <c r="G41" s="212">
        <f t="shared" si="61"/>
        <v>297174255</v>
      </c>
      <c r="H41" s="212">
        <f t="shared" si="61"/>
        <v>515.70000000000005</v>
      </c>
      <c r="I41" s="201">
        <f>IF(H41=0,0,ROUND(G41/H41/12,0))</f>
        <v>48021</v>
      </c>
      <c r="J41" s="299">
        <f t="shared" si="42"/>
        <v>8</v>
      </c>
      <c r="K41" s="432"/>
      <c r="L41" s="212">
        <f>L40</f>
        <v>327760419</v>
      </c>
      <c r="M41" s="212">
        <f t="shared" ref="M41" si="62">M40</f>
        <v>11386164</v>
      </c>
      <c r="N41" s="212">
        <f t="shared" ref="N41" si="63">N40</f>
        <v>316374255</v>
      </c>
      <c r="O41" s="212">
        <f t="shared" ref="O41" si="64">O40</f>
        <v>513.78</v>
      </c>
      <c r="P41" s="201">
        <f>IF(O41=0,0,ROUND(N41/O41/12,0))</f>
        <v>51315</v>
      </c>
      <c r="Q41" s="299">
        <f t="shared" si="46"/>
        <v>7</v>
      </c>
      <c r="R41" s="212">
        <f>R40</f>
        <v>320071509</v>
      </c>
      <c r="S41" s="212">
        <f t="shared" ref="S41" si="65">S40</f>
        <v>9975621</v>
      </c>
      <c r="T41" s="212">
        <f t="shared" ref="T41" si="66">T40</f>
        <v>310095888</v>
      </c>
      <c r="U41" s="212">
        <f t="shared" ref="U41" si="67">U40</f>
        <v>490.44</v>
      </c>
      <c r="V41" s="201">
        <f>IF(U41=0,0,ROUND(T41/U41/12,0))</f>
        <v>52690</v>
      </c>
      <c r="W41" s="299">
        <f t="shared" si="50"/>
        <v>9</v>
      </c>
      <c r="X41" s="37"/>
      <c r="Y41" s="38"/>
      <c r="Z41"/>
      <c r="AA41" s="212">
        <v>328402477</v>
      </c>
      <c r="AB41" s="210">
        <v>17536164</v>
      </c>
      <c r="AC41" s="210">
        <v>310866313</v>
      </c>
      <c r="AD41" s="210">
        <v>513.70000000000005</v>
      </c>
      <c r="AE41" s="211">
        <v>50429</v>
      </c>
      <c r="AF41" s="299">
        <f t="shared" si="51"/>
        <v>9</v>
      </c>
      <c r="AG41" s="432"/>
      <c r="AH41" s="219">
        <v>329792388</v>
      </c>
      <c r="AI41" s="220">
        <v>15736164</v>
      </c>
      <c r="AJ41" s="220">
        <v>314056224</v>
      </c>
      <c r="AK41" s="220">
        <v>512.70000000000005</v>
      </c>
      <c r="AL41" s="244">
        <v>51046</v>
      </c>
      <c r="AM41" s="299">
        <f t="shared" si="52"/>
        <v>11</v>
      </c>
      <c r="AN41" s="193">
        <v>332327139</v>
      </c>
      <c r="AO41" s="209">
        <v>15345252</v>
      </c>
      <c r="AP41" s="209">
        <v>316981887</v>
      </c>
      <c r="AQ41" s="209">
        <v>487.43</v>
      </c>
      <c r="AR41" s="264">
        <v>54193</v>
      </c>
      <c r="AS41" s="299">
        <f t="shared" si="53"/>
        <v>11</v>
      </c>
      <c r="AT41" s="37"/>
      <c r="AU41" s="38"/>
    </row>
    <row r="42" spans="1:47" s="3" customFormat="1" ht="17.25" customHeight="1" thickBot="1">
      <c r="A42" s="410">
        <v>335</v>
      </c>
      <c r="B42" s="410" t="s">
        <v>37</v>
      </c>
      <c r="C42" s="88" t="s">
        <v>75</v>
      </c>
      <c r="E42" s="206">
        <v>121631257</v>
      </c>
      <c r="F42" s="205">
        <v>3603521</v>
      </c>
      <c r="G42" s="205">
        <v>118027736</v>
      </c>
      <c r="H42" s="205">
        <v>307</v>
      </c>
      <c r="I42" s="205">
        <v>32038</v>
      </c>
      <c r="J42" s="81">
        <f t="shared" si="42"/>
        <v>44</v>
      </c>
      <c r="K42" s="432"/>
      <c r="L42" s="206">
        <v>120069229</v>
      </c>
      <c r="M42" s="205">
        <v>3603521</v>
      </c>
      <c r="N42" s="205">
        <v>116465708</v>
      </c>
      <c r="O42" s="205">
        <v>302</v>
      </c>
      <c r="P42" s="240">
        <v>32137</v>
      </c>
      <c r="Q42" s="81">
        <f t="shared" si="46"/>
        <v>44</v>
      </c>
      <c r="R42" s="204">
        <v>399488090</v>
      </c>
      <c r="S42" s="203">
        <v>16310006</v>
      </c>
      <c r="T42" s="203">
        <v>383178084</v>
      </c>
      <c r="U42" s="203">
        <v>518.92000000000007</v>
      </c>
      <c r="V42" s="215">
        <v>61535</v>
      </c>
      <c r="W42" s="81">
        <f t="shared" si="50"/>
        <v>4</v>
      </c>
      <c r="X42" s="37"/>
      <c r="Y42" s="38"/>
      <c r="Z42"/>
      <c r="AA42" s="206">
        <v>125920927</v>
      </c>
      <c r="AB42" s="205">
        <v>3603521</v>
      </c>
      <c r="AC42" s="205">
        <v>122317406</v>
      </c>
      <c r="AD42" s="205">
        <v>301</v>
      </c>
      <c r="AE42" s="205">
        <v>33864</v>
      </c>
      <c r="AF42" s="81">
        <f t="shared" si="51"/>
        <v>44</v>
      </c>
      <c r="AG42" s="432"/>
      <c r="AH42" s="206">
        <v>121477313</v>
      </c>
      <c r="AI42" s="205">
        <v>3603521</v>
      </c>
      <c r="AJ42" s="205">
        <v>117873792</v>
      </c>
      <c r="AK42" s="205">
        <v>301</v>
      </c>
      <c r="AL42" s="240">
        <v>32634</v>
      </c>
      <c r="AM42" s="81">
        <f t="shared" si="52"/>
        <v>45</v>
      </c>
      <c r="AN42" s="204">
        <v>423585576</v>
      </c>
      <c r="AO42" s="203">
        <v>17603626</v>
      </c>
      <c r="AP42" s="203">
        <v>405981950</v>
      </c>
      <c r="AQ42" s="203">
        <v>526.15</v>
      </c>
      <c r="AR42" s="215">
        <v>64301</v>
      </c>
      <c r="AS42" s="81">
        <f t="shared" si="53"/>
        <v>6</v>
      </c>
      <c r="AT42" s="37"/>
      <c r="AU42" s="38"/>
    </row>
    <row r="43" spans="1:47" s="3" customFormat="1" ht="18" customHeight="1" thickBot="1">
      <c r="A43" s="410"/>
      <c r="B43" s="410"/>
      <c r="C43" s="86" t="s">
        <v>96</v>
      </c>
      <c r="E43" s="196">
        <v>1025032432</v>
      </c>
      <c r="F43" s="185">
        <v>5918811</v>
      </c>
      <c r="G43" s="185">
        <v>1019113621</v>
      </c>
      <c r="H43" s="185">
        <v>2157.1099999999997</v>
      </c>
      <c r="I43" s="186">
        <v>39370</v>
      </c>
      <c r="J43" s="81">
        <f t="shared" si="42"/>
        <v>29</v>
      </c>
      <c r="K43" s="432"/>
      <c r="L43" s="83">
        <v>1021502794</v>
      </c>
      <c r="M43" s="79">
        <v>5918811</v>
      </c>
      <c r="N43" s="79">
        <v>1015583983</v>
      </c>
      <c r="O43" s="79">
        <v>2138</v>
      </c>
      <c r="P43" s="235">
        <v>39585</v>
      </c>
      <c r="Q43" s="81">
        <f t="shared" si="46"/>
        <v>30</v>
      </c>
      <c r="R43" s="83">
        <v>1020625090</v>
      </c>
      <c r="S43" s="79">
        <v>5342071</v>
      </c>
      <c r="T43" s="79">
        <v>1015283019</v>
      </c>
      <c r="U43" s="79">
        <v>2002.23</v>
      </c>
      <c r="V43" s="235">
        <v>42256</v>
      </c>
      <c r="W43" s="81">
        <f t="shared" si="50"/>
        <v>32</v>
      </c>
      <c r="X43" s="37"/>
      <c r="Y43" s="38"/>
      <c r="Z43"/>
      <c r="AA43" s="196">
        <v>1103597409</v>
      </c>
      <c r="AB43" s="185">
        <v>5918811</v>
      </c>
      <c r="AC43" s="185">
        <v>1097678598</v>
      </c>
      <c r="AD43" s="185">
        <v>2135.7099999999996</v>
      </c>
      <c r="AE43" s="186">
        <v>42830</v>
      </c>
      <c r="AF43" s="81">
        <f t="shared" si="51"/>
        <v>26</v>
      </c>
      <c r="AG43" s="432"/>
      <c r="AH43" s="83">
        <v>1085015074</v>
      </c>
      <c r="AI43" s="79">
        <v>5918811</v>
      </c>
      <c r="AJ43" s="79">
        <v>1079096263</v>
      </c>
      <c r="AK43" s="79">
        <v>2132.21</v>
      </c>
      <c r="AL43" s="235">
        <v>42174</v>
      </c>
      <c r="AM43" s="81">
        <f t="shared" si="52"/>
        <v>28</v>
      </c>
      <c r="AN43" s="83">
        <v>1073249691</v>
      </c>
      <c r="AO43" s="79">
        <v>5868825</v>
      </c>
      <c r="AP43" s="79">
        <v>1067380866</v>
      </c>
      <c r="AQ43" s="79">
        <v>1989.97</v>
      </c>
      <c r="AR43" s="235">
        <v>44698</v>
      </c>
      <c r="AS43" s="81">
        <f t="shared" si="53"/>
        <v>31</v>
      </c>
      <c r="AT43" s="37"/>
      <c r="AU43" s="38"/>
    </row>
    <row r="44" spans="1:47" s="1" customFormat="1" ht="17.25" customHeight="1" thickBot="1">
      <c r="A44" s="410"/>
      <c r="B44" s="410"/>
      <c r="C44" s="90" t="s">
        <v>64</v>
      </c>
      <c r="E44" s="207">
        <f>SUM(E42:E43)</f>
        <v>1146663689</v>
      </c>
      <c r="F44" s="207">
        <f t="shared" ref="F44:H44" si="68">SUM(F42:F43)</f>
        <v>9522332</v>
      </c>
      <c r="G44" s="207">
        <f t="shared" si="68"/>
        <v>1137141357</v>
      </c>
      <c r="H44" s="207">
        <f t="shared" si="68"/>
        <v>2464.1099999999997</v>
      </c>
      <c r="I44" s="201">
        <f>IF(H44=0,0,ROUND(G44/H44/12,0))</f>
        <v>38457</v>
      </c>
      <c r="J44" s="299">
        <f t="shared" si="42"/>
        <v>30</v>
      </c>
      <c r="K44" s="432"/>
      <c r="L44" s="207">
        <f>SUM(L42:L43)</f>
        <v>1141572023</v>
      </c>
      <c r="M44" s="207">
        <f t="shared" ref="M44" si="69">SUM(M42:M43)</f>
        <v>9522332</v>
      </c>
      <c r="N44" s="207">
        <f t="shared" ref="N44" si="70">SUM(N42:N43)</f>
        <v>1132049691</v>
      </c>
      <c r="O44" s="207">
        <f t="shared" ref="O44" si="71">SUM(O42:O43)</f>
        <v>2440</v>
      </c>
      <c r="P44" s="201">
        <f>IF(O44=0,0,ROUND(N44/O44/12,0))</f>
        <v>38663</v>
      </c>
      <c r="Q44" s="299">
        <f t="shared" si="46"/>
        <v>32</v>
      </c>
      <c r="R44" s="207">
        <f>SUM(R42:R43)</f>
        <v>1420113180</v>
      </c>
      <c r="S44" s="207">
        <f t="shared" ref="S44" si="72">SUM(S42:S43)</f>
        <v>21652077</v>
      </c>
      <c r="T44" s="207">
        <f t="shared" ref="T44" si="73">SUM(T42:T43)</f>
        <v>1398461103</v>
      </c>
      <c r="U44" s="207">
        <f t="shared" ref="U44" si="74">SUM(U42:U43)</f>
        <v>2521.15</v>
      </c>
      <c r="V44" s="201">
        <f>IF(U44=0,0,ROUND(T44/U44/12,0))</f>
        <v>46224</v>
      </c>
      <c r="W44" s="299">
        <f t="shared" si="50"/>
        <v>19</v>
      </c>
      <c r="X44" s="37"/>
      <c r="Y44" s="38"/>
      <c r="Z44"/>
      <c r="AA44" s="207">
        <v>1229518336</v>
      </c>
      <c r="AB44" s="200">
        <v>9522332</v>
      </c>
      <c r="AC44" s="200">
        <v>1219996004</v>
      </c>
      <c r="AD44" s="200">
        <v>2436.7099999999996</v>
      </c>
      <c r="AE44" s="201">
        <v>41723</v>
      </c>
      <c r="AF44" s="299">
        <f t="shared" si="51"/>
        <v>33</v>
      </c>
      <c r="AG44" s="432"/>
      <c r="AH44" s="217">
        <v>1206492387</v>
      </c>
      <c r="AI44" s="218">
        <v>9522332</v>
      </c>
      <c r="AJ44" s="218">
        <v>1196970055</v>
      </c>
      <c r="AK44" s="218">
        <v>2433.21</v>
      </c>
      <c r="AL44" s="241">
        <v>40994</v>
      </c>
      <c r="AM44" s="299">
        <f t="shared" si="52"/>
        <v>34</v>
      </c>
      <c r="AN44" s="143">
        <v>1496835267</v>
      </c>
      <c r="AO44" s="199">
        <v>23472451</v>
      </c>
      <c r="AP44" s="199">
        <v>1473362816</v>
      </c>
      <c r="AQ44" s="199">
        <v>2516.12</v>
      </c>
      <c r="AR44" s="236">
        <v>48797</v>
      </c>
      <c r="AS44" s="299">
        <f t="shared" si="53"/>
        <v>17</v>
      </c>
      <c r="AT44" s="37"/>
      <c r="AU44" s="38"/>
    </row>
    <row r="45" spans="1:47" s="3" customFormat="1" ht="17.25" customHeight="1" thickBot="1">
      <c r="A45" s="410">
        <v>346</v>
      </c>
      <c r="B45" s="410" t="s">
        <v>45</v>
      </c>
      <c r="C45" s="86" t="s">
        <v>76</v>
      </c>
      <c r="E45" s="198">
        <v>1852605040</v>
      </c>
      <c r="F45" s="185">
        <v>2269000</v>
      </c>
      <c r="G45" s="185">
        <v>1850336040</v>
      </c>
      <c r="H45" s="185">
        <v>4282</v>
      </c>
      <c r="I45" s="185">
        <v>36010</v>
      </c>
      <c r="J45" s="81">
        <f t="shared" si="42"/>
        <v>36</v>
      </c>
      <c r="K45" s="432"/>
      <c r="L45" s="198">
        <v>1889857410</v>
      </c>
      <c r="M45" s="185">
        <v>3424820</v>
      </c>
      <c r="N45" s="185">
        <v>1886432590</v>
      </c>
      <c r="O45" s="185">
        <v>4279</v>
      </c>
      <c r="P45" s="242">
        <v>36738</v>
      </c>
      <c r="Q45" s="81">
        <f t="shared" si="46"/>
        <v>39</v>
      </c>
      <c r="R45" s="197">
        <v>1871123690</v>
      </c>
      <c r="S45" s="79">
        <v>3324780</v>
      </c>
      <c r="T45" s="79">
        <v>1867798910</v>
      </c>
      <c r="U45" s="79">
        <v>4077.2099999999996</v>
      </c>
      <c r="V45" s="237">
        <v>38176</v>
      </c>
      <c r="W45" s="81">
        <f t="shared" si="50"/>
        <v>40</v>
      </c>
      <c r="X45" s="37"/>
      <c r="Y45" s="38"/>
      <c r="Z45"/>
      <c r="AA45" s="198">
        <v>2132164242</v>
      </c>
      <c r="AB45" s="185">
        <v>2236000</v>
      </c>
      <c r="AC45" s="185">
        <v>2129928242</v>
      </c>
      <c r="AD45" s="185">
        <v>4239</v>
      </c>
      <c r="AE45" s="185">
        <v>41872</v>
      </c>
      <c r="AF45" s="81">
        <f t="shared" si="51"/>
        <v>32</v>
      </c>
      <c r="AG45" s="432"/>
      <c r="AH45" s="198">
        <v>2117444057</v>
      </c>
      <c r="AI45" s="185">
        <v>2819220</v>
      </c>
      <c r="AJ45" s="185">
        <v>2114624837</v>
      </c>
      <c r="AK45" s="185">
        <v>4239</v>
      </c>
      <c r="AL45" s="242">
        <v>41571</v>
      </c>
      <c r="AM45" s="81">
        <f t="shared" si="52"/>
        <v>32</v>
      </c>
      <c r="AN45" s="197">
        <v>2115770062</v>
      </c>
      <c r="AO45" s="79">
        <v>3641057</v>
      </c>
      <c r="AP45" s="79">
        <v>2112129005</v>
      </c>
      <c r="AQ45" s="79">
        <v>4032.87</v>
      </c>
      <c r="AR45" s="237">
        <v>43644</v>
      </c>
      <c r="AS45" s="81">
        <f t="shared" si="53"/>
        <v>36</v>
      </c>
      <c r="AT45" s="37"/>
      <c r="AU45" s="38"/>
    </row>
    <row r="46" spans="1:47" s="3" customFormat="1" ht="17.25" customHeight="1" thickBot="1">
      <c r="A46" s="410"/>
      <c r="B46" s="410"/>
      <c r="C46" s="86" t="s">
        <v>77</v>
      </c>
      <c r="E46" s="196">
        <v>47067380</v>
      </c>
      <c r="F46" s="185">
        <v>122000</v>
      </c>
      <c r="G46" s="185">
        <v>46945380</v>
      </c>
      <c r="H46" s="185">
        <v>83</v>
      </c>
      <c r="I46" s="186">
        <v>47134</v>
      </c>
      <c r="J46" s="81">
        <f t="shared" si="42"/>
        <v>11</v>
      </c>
      <c r="K46" s="432"/>
      <c r="L46" s="83">
        <v>47039380</v>
      </c>
      <c r="M46" s="79">
        <v>94000</v>
      </c>
      <c r="N46" s="79">
        <v>46945380</v>
      </c>
      <c r="O46" s="79">
        <v>83</v>
      </c>
      <c r="P46" s="235">
        <v>47134</v>
      </c>
      <c r="Q46" s="81">
        <f t="shared" si="46"/>
        <v>11</v>
      </c>
      <c r="R46" s="83">
        <v>46850648</v>
      </c>
      <c r="S46" s="79">
        <v>65000</v>
      </c>
      <c r="T46" s="79">
        <v>46785648</v>
      </c>
      <c r="U46" s="79">
        <v>75.7</v>
      </c>
      <c r="V46" s="235">
        <v>51503</v>
      </c>
      <c r="W46" s="81">
        <f t="shared" si="50"/>
        <v>13</v>
      </c>
      <c r="X46" s="37"/>
      <c r="Y46" s="38"/>
      <c r="Z46"/>
      <c r="AA46" s="196">
        <v>54348254</v>
      </c>
      <c r="AB46" s="185">
        <v>94000</v>
      </c>
      <c r="AC46" s="185">
        <v>54254254</v>
      </c>
      <c r="AD46" s="185">
        <v>80</v>
      </c>
      <c r="AE46" s="186">
        <v>56515</v>
      </c>
      <c r="AF46" s="81">
        <f t="shared" si="51"/>
        <v>3</v>
      </c>
      <c r="AG46" s="432"/>
      <c r="AH46" s="83">
        <v>54348254</v>
      </c>
      <c r="AI46" s="79">
        <v>349000</v>
      </c>
      <c r="AJ46" s="79">
        <v>53999254</v>
      </c>
      <c r="AK46" s="79">
        <v>80</v>
      </c>
      <c r="AL46" s="235">
        <v>56249</v>
      </c>
      <c r="AM46" s="81">
        <f t="shared" si="52"/>
        <v>4</v>
      </c>
      <c r="AN46" s="83">
        <v>52100730</v>
      </c>
      <c r="AO46" s="79">
        <v>374377</v>
      </c>
      <c r="AP46" s="79">
        <v>51726353</v>
      </c>
      <c r="AQ46" s="79">
        <v>73.34</v>
      </c>
      <c r="AR46" s="235">
        <v>58775</v>
      </c>
      <c r="AS46" s="81">
        <f t="shared" si="53"/>
        <v>8</v>
      </c>
      <c r="AT46" s="37"/>
      <c r="AU46" s="38"/>
    </row>
    <row r="47" spans="1:47" s="3" customFormat="1" ht="17.25" customHeight="1" thickBot="1">
      <c r="A47" s="410"/>
      <c r="B47" s="410"/>
      <c r="C47" s="86" t="s">
        <v>78</v>
      </c>
      <c r="E47" s="196">
        <v>164454348</v>
      </c>
      <c r="F47" s="185">
        <v>708330</v>
      </c>
      <c r="G47" s="185">
        <v>163746018</v>
      </c>
      <c r="H47" s="185">
        <v>378</v>
      </c>
      <c r="I47" s="186">
        <v>36099</v>
      </c>
      <c r="J47" s="81">
        <f t="shared" si="42"/>
        <v>35</v>
      </c>
      <c r="K47" s="432"/>
      <c r="L47" s="83">
        <v>167990348</v>
      </c>
      <c r="M47" s="79">
        <v>708330</v>
      </c>
      <c r="N47" s="79">
        <v>167282018</v>
      </c>
      <c r="O47" s="79">
        <v>378</v>
      </c>
      <c r="P47" s="235">
        <v>36879</v>
      </c>
      <c r="Q47" s="81">
        <f t="shared" si="46"/>
        <v>38</v>
      </c>
      <c r="R47" s="83">
        <v>167943173</v>
      </c>
      <c r="S47" s="79">
        <v>661155</v>
      </c>
      <c r="T47" s="79">
        <v>167282018</v>
      </c>
      <c r="U47" s="79">
        <v>366.58000000000004</v>
      </c>
      <c r="V47" s="235">
        <v>38028</v>
      </c>
      <c r="W47" s="81">
        <f t="shared" si="50"/>
        <v>41</v>
      </c>
      <c r="X47" s="37"/>
      <c r="Y47" s="38"/>
      <c r="Z47"/>
      <c r="AA47" s="196">
        <v>195582981</v>
      </c>
      <c r="AB47" s="185">
        <v>708330</v>
      </c>
      <c r="AC47" s="185">
        <v>194874651</v>
      </c>
      <c r="AD47" s="185">
        <v>383</v>
      </c>
      <c r="AE47" s="186">
        <v>42401</v>
      </c>
      <c r="AF47" s="81">
        <f t="shared" si="51"/>
        <v>30</v>
      </c>
      <c r="AG47" s="432"/>
      <c r="AH47" s="83">
        <v>195582981</v>
      </c>
      <c r="AI47" s="79">
        <v>708330</v>
      </c>
      <c r="AJ47" s="79">
        <v>194874651</v>
      </c>
      <c r="AK47" s="79">
        <v>383</v>
      </c>
      <c r="AL47" s="235">
        <v>42401</v>
      </c>
      <c r="AM47" s="81">
        <f t="shared" si="52"/>
        <v>27</v>
      </c>
      <c r="AN47" s="83">
        <v>195633806</v>
      </c>
      <c r="AO47" s="79">
        <v>782265</v>
      </c>
      <c r="AP47" s="79">
        <v>194851541</v>
      </c>
      <c r="AQ47" s="79">
        <v>367.21</v>
      </c>
      <c r="AR47" s="235">
        <v>44219</v>
      </c>
      <c r="AS47" s="81">
        <f t="shared" si="53"/>
        <v>33</v>
      </c>
      <c r="AT47" s="37"/>
      <c r="AU47" s="38"/>
    </row>
    <row r="48" spans="1:47" s="1" customFormat="1" ht="16.5" customHeight="1" thickBot="1">
      <c r="A48" s="410"/>
      <c r="B48" s="410"/>
      <c r="C48" s="90" t="s">
        <v>64</v>
      </c>
      <c r="E48" s="212">
        <f>SUM(E45:E47)</f>
        <v>2064126768</v>
      </c>
      <c r="F48" s="212">
        <f t="shared" ref="F48:H48" si="75">SUM(F45:F47)</f>
        <v>3099330</v>
      </c>
      <c r="G48" s="212">
        <f t="shared" si="75"/>
        <v>2061027438</v>
      </c>
      <c r="H48" s="212">
        <f t="shared" si="75"/>
        <v>4743</v>
      </c>
      <c r="I48" s="201">
        <f>IF(H48=0,0,ROUND(G48/H48/12,0))</f>
        <v>36212</v>
      </c>
      <c r="J48" s="299">
        <f t="shared" si="42"/>
        <v>34</v>
      </c>
      <c r="K48" s="432"/>
      <c r="L48" s="212">
        <f>SUM(L45:L47)</f>
        <v>2104887138</v>
      </c>
      <c r="M48" s="212">
        <f t="shared" ref="M48" si="76">SUM(M45:M47)</f>
        <v>4227150</v>
      </c>
      <c r="N48" s="212">
        <f t="shared" ref="N48" si="77">SUM(N45:N47)</f>
        <v>2100659988</v>
      </c>
      <c r="O48" s="212">
        <f t="shared" ref="O48" si="78">SUM(O45:O47)</f>
        <v>4740</v>
      </c>
      <c r="P48" s="201">
        <f>IF(O48=0,0,ROUND(N48/O48/12,0))</f>
        <v>36931</v>
      </c>
      <c r="Q48" s="299">
        <f t="shared" si="46"/>
        <v>37</v>
      </c>
      <c r="R48" s="212">
        <f>SUM(R45:R47)</f>
        <v>2085917511</v>
      </c>
      <c r="S48" s="212">
        <f t="shared" ref="S48" si="79">SUM(S45:S47)</f>
        <v>4050935</v>
      </c>
      <c r="T48" s="212">
        <f t="shared" ref="T48" si="80">SUM(T45:T47)</f>
        <v>2081866576</v>
      </c>
      <c r="U48" s="212">
        <f t="shared" ref="U48" si="81">SUM(U45:U47)</f>
        <v>4519.49</v>
      </c>
      <c r="V48" s="201">
        <f>IF(U48=0,0,ROUND(T48/U48/12,0))</f>
        <v>38387</v>
      </c>
      <c r="W48" s="299">
        <f t="shared" si="50"/>
        <v>39</v>
      </c>
      <c r="X48" s="37"/>
      <c r="Y48" s="38"/>
      <c r="Z48"/>
      <c r="AA48" s="212">
        <v>2382095477</v>
      </c>
      <c r="AB48" s="214">
        <v>3038330</v>
      </c>
      <c r="AC48" s="214">
        <v>2379057147</v>
      </c>
      <c r="AD48" s="214">
        <v>4702</v>
      </c>
      <c r="AE48" s="211">
        <v>42164</v>
      </c>
      <c r="AF48" s="299">
        <f t="shared" si="51"/>
        <v>31</v>
      </c>
      <c r="AG48" s="432"/>
      <c r="AH48" s="222">
        <v>2367375292</v>
      </c>
      <c r="AI48" s="223">
        <v>3876550</v>
      </c>
      <c r="AJ48" s="223">
        <v>2363498742</v>
      </c>
      <c r="AK48" s="223">
        <v>4702</v>
      </c>
      <c r="AL48" s="243">
        <v>41888</v>
      </c>
      <c r="AM48" s="299">
        <f t="shared" si="52"/>
        <v>30</v>
      </c>
      <c r="AN48" s="193">
        <v>2363504598</v>
      </c>
      <c r="AO48" s="194">
        <v>4797699</v>
      </c>
      <c r="AP48" s="194">
        <v>2358706899</v>
      </c>
      <c r="AQ48" s="194">
        <v>4473.42</v>
      </c>
      <c r="AR48" s="264">
        <v>43939</v>
      </c>
      <c r="AS48" s="299">
        <f t="shared" si="53"/>
        <v>35</v>
      </c>
      <c r="AT48" s="37"/>
      <c r="AU48" s="38"/>
    </row>
    <row r="49" spans="1:47" s="4" customFormat="1" ht="17.25" customHeight="1" thickBot="1">
      <c r="A49" s="410">
        <v>355</v>
      </c>
      <c r="B49" s="410" t="s">
        <v>100</v>
      </c>
      <c r="C49" s="89" t="s">
        <v>107</v>
      </c>
      <c r="D49" s="213"/>
      <c r="E49" s="206">
        <v>56572642</v>
      </c>
      <c r="F49" s="205">
        <v>303513</v>
      </c>
      <c r="G49" s="205">
        <v>56269129</v>
      </c>
      <c r="H49" s="205">
        <v>145</v>
      </c>
      <c r="I49" s="205">
        <v>32339</v>
      </c>
      <c r="J49" s="81">
        <f t="shared" si="42"/>
        <v>41</v>
      </c>
      <c r="K49" s="432"/>
      <c r="L49" s="206">
        <v>61089703</v>
      </c>
      <c r="M49" s="205">
        <v>1873353</v>
      </c>
      <c r="N49" s="205">
        <v>59216350</v>
      </c>
      <c r="O49" s="205">
        <v>146</v>
      </c>
      <c r="P49" s="240">
        <v>33799</v>
      </c>
      <c r="Q49" s="81">
        <f t="shared" si="46"/>
        <v>41</v>
      </c>
      <c r="R49" s="204">
        <v>60321846</v>
      </c>
      <c r="S49" s="203">
        <v>1379560</v>
      </c>
      <c r="T49" s="203">
        <v>58942286</v>
      </c>
      <c r="U49" s="203">
        <v>132.49</v>
      </c>
      <c r="V49" s="215">
        <v>37073</v>
      </c>
      <c r="W49" s="81">
        <f t="shared" si="50"/>
        <v>43</v>
      </c>
      <c r="X49" s="37"/>
      <c r="Y49" s="38"/>
      <c r="Z49"/>
      <c r="AA49" s="206">
        <v>63296679</v>
      </c>
      <c r="AB49" s="205">
        <v>303513</v>
      </c>
      <c r="AC49" s="205">
        <v>62993166</v>
      </c>
      <c r="AD49" s="205">
        <v>147</v>
      </c>
      <c r="AE49" s="205">
        <v>35710</v>
      </c>
      <c r="AF49" s="81">
        <f t="shared" si="51"/>
        <v>41</v>
      </c>
      <c r="AG49" s="432"/>
      <c r="AH49" s="206">
        <v>63296679</v>
      </c>
      <c r="AI49" s="205">
        <v>303513</v>
      </c>
      <c r="AJ49" s="205">
        <v>62993166</v>
      </c>
      <c r="AK49" s="205">
        <v>147</v>
      </c>
      <c r="AL49" s="240">
        <v>35710</v>
      </c>
      <c r="AM49" s="81">
        <f t="shared" si="52"/>
        <v>41</v>
      </c>
      <c r="AN49" s="204">
        <v>62552123</v>
      </c>
      <c r="AO49" s="203">
        <v>326768</v>
      </c>
      <c r="AP49" s="203">
        <v>62225355</v>
      </c>
      <c r="AQ49" s="203">
        <v>133.63</v>
      </c>
      <c r="AR49" s="215">
        <v>38805</v>
      </c>
      <c r="AS49" s="81">
        <f t="shared" si="53"/>
        <v>44</v>
      </c>
      <c r="AT49" s="37"/>
      <c r="AU49" s="38"/>
    </row>
    <row r="50" spans="1:47" s="1" customFormat="1" ht="16.5" customHeight="1" thickBot="1">
      <c r="A50" s="410"/>
      <c r="B50" s="410"/>
      <c r="C50" s="90" t="s">
        <v>64</v>
      </c>
      <c r="E50" s="207">
        <f>E49</f>
        <v>56572642</v>
      </c>
      <c r="F50" s="207">
        <f t="shared" ref="F50:H50" si="82">F49</f>
        <v>303513</v>
      </c>
      <c r="G50" s="207">
        <f t="shared" si="82"/>
        <v>56269129</v>
      </c>
      <c r="H50" s="207">
        <f t="shared" si="82"/>
        <v>145</v>
      </c>
      <c r="I50" s="201">
        <f>IF(H50=0,0,ROUND(G50/H50/12,0))</f>
        <v>32339</v>
      </c>
      <c r="J50" s="81"/>
      <c r="K50" s="188"/>
      <c r="L50" s="207">
        <f>L49</f>
        <v>61089703</v>
      </c>
      <c r="M50" s="207">
        <f t="shared" ref="M50" si="83">M49</f>
        <v>1873353</v>
      </c>
      <c r="N50" s="207">
        <f t="shared" ref="N50" si="84">N49</f>
        <v>59216350</v>
      </c>
      <c r="O50" s="207">
        <f t="shared" ref="O50" si="85">O49</f>
        <v>146</v>
      </c>
      <c r="P50" s="201">
        <f>IF(O50=0,0,ROUND(N50/O50/12,0))</f>
        <v>33799</v>
      </c>
      <c r="Q50" s="81"/>
      <c r="R50" s="207">
        <f>R49</f>
        <v>60321846</v>
      </c>
      <c r="S50" s="207">
        <f t="shared" ref="S50" si="86">S49</f>
        <v>1379560</v>
      </c>
      <c r="T50" s="207">
        <f t="shared" ref="T50" si="87">T49</f>
        <v>58942286</v>
      </c>
      <c r="U50" s="207">
        <f t="shared" ref="U50" si="88">U49</f>
        <v>132.49</v>
      </c>
      <c r="V50" s="201">
        <f>IF(U50=0,0,ROUND(T50/U50/12,0))</f>
        <v>37073</v>
      </c>
      <c r="W50" s="81"/>
      <c r="X50" s="53"/>
      <c r="Y50" s="52"/>
      <c r="Z50"/>
      <c r="AA50" s="207">
        <v>63296679</v>
      </c>
      <c r="AB50" s="216">
        <v>303513</v>
      </c>
      <c r="AC50" s="216">
        <v>62993166</v>
      </c>
      <c r="AD50" s="216">
        <v>147</v>
      </c>
      <c r="AE50" s="201">
        <v>35710</v>
      </c>
      <c r="AF50" s="81"/>
      <c r="AG50" s="188"/>
      <c r="AH50" s="222">
        <v>63296679</v>
      </c>
      <c r="AI50" s="223">
        <v>303513</v>
      </c>
      <c r="AJ50" s="223">
        <v>62993166</v>
      </c>
      <c r="AK50" s="223">
        <v>147</v>
      </c>
      <c r="AL50" s="243">
        <v>35710</v>
      </c>
      <c r="AM50" s="81"/>
      <c r="AN50" s="143">
        <v>62552123</v>
      </c>
      <c r="AO50" s="144">
        <v>326768</v>
      </c>
      <c r="AP50" s="144">
        <v>62225355</v>
      </c>
      <c r="AQ50" s="144">
        <v>133.63</v>
      </c>
      <c r="AR50" s="236">
        <v>38805</v>
      </c>
      <c r="AS50" s="81"/>
      <c r="AT50" s="53"/>
      <c r="AU50" s="52"/>
    </row>
    <row r="51" spans="1:47" s="192" customFormat="1" ht="39.75" customHeight="1" thickBot="1">
      <c r="A51" s="414" t="s">
        <v>97</v>
      </c>
      <c r="B51" s="415"/>
      <c r="C51" s="416"/>
      <c r="D51" s="191"/>
      <c r="E51" s="271">
        <f>SUM(E8,E13,E15,E18,E24,E32,E39,E41,E44,E48,E50)</f>
        <v>23434893916</v>
      </c>
      <c r="F51" s="272">
        <f t="shared" ref="F51:H51" si="89">SUM(F8,F13,F15,F18,F24,F32,F39,F41,F44,F48,F50)</f>
        <v>140555109</v>
      </c>
      <c r="G51" s="272">
        <f t="shared" si="89"/>
        <v>23294338807</v>
      </c>
      <c r="H51" s="272">
        <f t="shared" si="89"/>
        <v>50898.19</v>
      </c>
      <c r="I51" s="273">
        <f>IF(H51=0,0,ROUND(G51/H51/12,0))</f>
        <v>38139</v>
      </c>
      <c r="J51" s="274"/>
      <c r="K51" s="433"/>
      <c r="L51" s="271">
        <f>SUM(L8,L13,L15,L18,L24,L32,L39,L41,L44,L48,L50)</f>
        <v>24875105127</v>
      </c>
      <c r="M51" s="272">
        <f t="shared" ref="M51" si="90">SUM(M8,M13,M15,M18,M24,M32,M39,M41,M44,M48,M50)</f>
        <v>334242406</v>
      </c>
      <c r="N51" s="272">
        <f t="shared" ref="N51" si="91">SUM(N8,N13,N15,N18,N24,N32,N39,N41,N44,N48,N50)</f>
        <v>24540862721</v>
      </c>
      <c r="O51" s="272">
        <f t="shared" ref="O51" si="92">SUM(O8,O13,O15,O18,O24,O32,O39,O41,O44,O48,O50)</f>
        <v>49973.11</v>
      </c>
      <c r="P51" s="273">
        <f>IF(O51=0,0,ROUND(N51/O51/12,0))</f>
        <v>40923</v>
      </c>
      <c r="Q51" s="274"/>
      <c r="R51" s="271">
        <f>SUM(R8,R13,R15,R18,R24,R32,R39,R41,R44,R48,R50)</f>
        <v>24888370134.75</v>
      </c>
      <c r="S51" s="272">
        <f t="shared" ref="S51" si="93">SUM(S8,S13,S15,S18,S24,S32,S39,S41,S44,S48,S50)</f>
        <v>350099183</v>
      </c>
      <c r="T51" s="272">
        <f t="shared" ref="T51" si="94">SUM(T8,T13,T15,T18,T24,T32,T39,T41,T44,T48,T50)</f>
        <v>24538270951.75</v>
      </c>
      <c r="U51" s="272">
        <f t="shared" ref="U51" si="95">SUM(U8,U13,U15,U18,U24,U32,U39,U41,U44,U48,U50)</f>
        <v>47614.44</v>
      </c>
      <c r="V51" s="273">
        <f>IF(U51=0,0,ROUND(T51/U51/12,0))</f>
        <v>42946</v>
      </c>
      <c r="W51" s="265"/>
      <c r="X51" s="40"/>
      <c r="Y51" s="25"/>
      <c r="Z51"/>
      <c r="AA51" s="271">
        <f>SUM(AA8,AA13,AA15,AA18,AA24,AA32,AA39,AA41,AA44,AA48,AA50)</f>
        <v>25118475714</v>
      </c>
      <c r="AB51" s="272">
        <f t="shared" ref="AB51:AD51" si="96">SUM(AB8,AB13,AB15,AB18,AB24,AB32,AB39,AB41,AB44,AB48,AB50)</f>
        <v>161633486</v>
      </c>
      <c r="AC51" s="272">
        <f t="shared" si="96"/>
        <v>24956842228</v>
      </c>
      <c r="AD51" s="272">
        <f t="shared" si="96"/>
        <v>50159.42</v>
      </c>
      <c r="AE51" s="273">
        <f>IF(AD51=0,0,ROUND(AC51/AD51/12,0))</f>
        <v>41463</v>
      </c>
      <c r="AF51" s="274"/>
      <c r="AG51" s="433"/>
      <c r="AH51" s="271">
        <f>SUM(AH8,AH13,AH15,AH18,AH24,AH32,AH39,AH41,AH44,AH48,AH50)</f>
        <v>25740898536</v>
      </c>
      <c r="AI51" s="272">
        <f t="shared" ref="AI51" si="97">SUM(AI8,AI13,AI15,AI18,AI24,AI32,AI39,AI41,AI44,AI48,AI50)</f>
        <v>191904850</v>
      </c>
      <c r="AJ51" s="272">
        <f t="shared" ref="AJ51" si="98">SUM(AJ8,AJ13,AJ15,AJ18,AJ24,AJ32,AJ39,AJ41,AJ44,AJ48,AJ50)</f>
        <v>25548993686</v>
      </c>
      <c r="AK51" s="272">
        <f t="shared" ref="AK51" si="99">SUM(AK8,AK13,AK15,AK18,AK24,AK32,AK39,AK41,AK44,AK48,AK50)</f>
        <v>49782.2</v>
      </c>
      <c r="AL51" s="273">
        <f>IF(AK51=0,0,ROUND(AJ51/AK51/12,0))</f>
        <v>42768</v>
      </c>
      <c r="AM51" s="274"/>
      <c r="AN51" s="271">
        <f>SUM(AN8,AN13,AN15,AN18,AN24,AN32,AN39,AN41,AN44,AN48,AN50)</f>
        <v>25871024330.860001</v>
      </c>
      <c r="AO51" s="272">
        <f t="shared" ref="AO51" si="100">SUM(AO8,AO13,AO15,AO18,AO24,AO32,AO39,AO41,AO44,AO48,AO50)</f>
        <v>202139322</v>
      </c>
      <c r="AP51" s="272">
        <f t="shared" ref="AP51" si="101">SUM(AP8,AP13,AP15,AP18,AP24,AP32,AP39,AP41,AP44,AP48,AP50)</f>
        <v>25668885008.860001</v>
      </c>
      <c r="AQ51" s="272">
        <f t="shared" ref="AQ51" si="102">SUM(AQ8,AQ13,AQ15,AQ18,AQ24,AQ32,AQ39,AQ41,AQ44,AQ48,AQ50)</f>
        <v>47010.37999999999</v>
      </c>
      <c r="AR51" s="273">
        <f>IF(AQ51=0,0,ROUND(AP51/AQ51/12,0))</f>
        <v>45502</v>
      </c>
      <c r="AS51" s="265"/>
      <c r="AT51" s="40"/>
      <c r="AU51" s="25"/>
    </row>
    <row r="52" spans="1:47" s="3" customFormat="1" ht="14" thickBot="1">
      <c r="E52" s="184"/>
      <c r="F52" s="184"/>
      <c r="G52" s="184"/>
      <c r="H52" s="184"/>
      <c r="I52" s="184"/>
      <c r="J52" s="184"/>
      <c r="K52" s="189"/>
      <c r="W52" s="184"/>
      <c r="X52" s="21"/>
      <c r="Y52" s="23"/>
      <c r="Z52"/>
      <c r="AG52" s="189"/>
      <c r="AT52" s="21"/>
      <c r="AU52" s="23"/>
    </row>
  </sheetData>
  <dataConsolidate/>
  <mergeCells count="84">
    <mergeCell ref="X1:Y2"/>
    <mergeCell ref="X3:X5"/>
    <mergeCell ref="Y3:Y5"/>
    <mergeCell ref="AG1:AG2"/>
    <mergeCell ref="AG3:AG5"/>
    <mergeCell ref="AT1:AU2"/>
    <mergeCell ref="AT3:AT5"/>
    <mergeCell ref="AU3:AU5"/>
    <mergeCell ref="B19:B24"/>
    <mergeCell ref="A19:A24"/>
    <mergeCell ref="B33:B39"/>
    <mergeCell ref="A33:A39"/>
    <mergeCell ref="A9:A13"/>
    <mergeCell ref="A51:C51"/>
    <mergeCell ref="A25:A32"/>
    <mergeCell ref="B25:B32"/>
    <mergeCell ref="B40:B41"/>
    <mergeCell ref="A40:A41"/>
    <mergeCell ref="B42:B44"/>
    <mergeCell ref="A42:A44"/>
    <mergeCell ref="B45:B48"/>
    <mergeCell ref="A45:A48"/>
    <mergeCell ref="B49:B50"/>
    <mergeCell ref="A49:A50"/>
    <mergeCell ref="C1:C5"/>
    <mergeCell ref="A1:A5"/>
    <mergeCell ref="B1:B5"/>
    <mergeCell ref="A6:A8"/>
    <mergeCell ref="B6:B8"/>
    <mergeCell ref="B9:B13"/>
    <mergeCell ref="A16:A18"/>
    <mergeCell ref="B16:B18"/>
    <mergeCell ref="A14:A15"/>
    <mergeCell ref="B14:B15"/>
    <mergeCell ref="W3:W5"/>
    <mergeCell ref="F4:F5"/>
    <mergeCell ref="G4:G5"/>
    <mergeCell ref="M4:M5"/>
    <mergeCell ref="N4:N5"/>
    <mergeCell ref="S4:S5"/>
    <mergeCell ref="M3:N3"/>
    <mergeCell ref="O3:O5"/>
    <mergeCell ref="P3:P5"/>
    <mergeCell ref="Q3:Q5"/>
    <mergeCell ref="R3:R5"/>
    <mergeCell ref="S3:T3"/>
    <mergeCell ref="T4:T5"/>
    <mergeCell ref="K3:K5"/>
    <mergeCell ref="L1:P2"/>
    <mergeCell ref="R1:V2"/>
    <mergeCell ref="E3:E5"/>
    <mergeCell ref="F3:G3"/>
    <mergeCell ref="H3:H5"/>
    <mergeCell ref="I3:I5"/>
    <mergeCell ref="J3:J5"/>
    <mergeCell ref="L3:L5"/>
    <mergeCell ref="U3:U5"/>
    <mergeCell ref="V3:V5"/>
    <mergeCell ref="E1:I2"/>
    <mergeCell ref="K1:K2"/>
    <mergeCell ref="AA1:AE2"/>
    <mergeCell ref="AH1:AL2"/>
    <mergeCell ref="AN1:AR2"/>
    <mergeCell ref="AA3:AA5"/>
    <mergeCell ref="AB3:AC3"/>
    <mergeCell ref="AD3:AD5"/>
    <mergeCell ref="AE3:AE5"/>
    <mergeCell ref="AF3:AF5"/>
    <mergeCell ref="AH3:AH5"/>
    <mergeCell ref="AI3:AJ3"/>
    <mergeCell ref="AK3:AK5"/>
    <mergeCell ref="AL3:AL5"/>
    <mergeCell ref="AM3:AM5"/>
    <mergeCell ref="AN3:AN5"/>
    <mergeCell ref="AO3:AP3"/>
    <mergeCell ref="AQ3:AQ5"/>
    <mergeCell ref="AS3:AS5"/>
    <mergeCell ref="AB4:AB5"/>
    <mergeCell ref="AC4:AC5"/>
    <mergeCell ref="AI4:AI5"/>
    <mergeCell ref="AJ4:AJ5"/>
    <mergeCell ref="AO4:AO5"/>
    <mergeCell ref="AP4:AP5"/>
    <mergeCell ref="AR3:AR5"/>
  </mergeCells>
  <phoneticPr fontId="0" type="noConversion"/>
  <printOptions horizontalCentered="1" verticalCentered="1"/>
  <pageMargins left="0.59055118110236227" right="0.51181102362204722" top="0.39370078740157483" bottom="0" header="0.39370078740157483" footer="0.19685039370078741"/>
  <pageSetup paperSize="9" scale="50" pageOrder="overThenDown" orientation="landscape" r:id="rId1"/>
  <headerFooter alignWithMargins="0">
    <oddHeader>&amp;C&amp;"Arial CE,tučné"Přehled o vývoji počtu zaměstnanců a objemech mezd od roku  1 9 9 3
za   R O P O  c e l k e m
&amp;R&amp;A   -   &amp;F</oddHeader>
    <oddFooter>&amp;C6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List9"/>
  <dimension ref="A1:AV97"/>
  <sheetViews>
    <sheetView zoomScale="90" zoomScaleNormal="90" workbookViewId="0">
      <pane xSplit="3" ySplit="5" topLeftCell="M9" activePane="bottomRight" state="frozen"/>
      <selection activeCell="GF21" sqref="GF21"/>
      <selection pane="topRight" activeCell="GF21" sqref="GF21"/>
      <selection pane="bottomLeft" activeCell="GF21" sqref="GF21"/>
      <selection pane="bottomRight" activeCell="Z1" sqref="Z1:Z1048576"/>
    </sheetView>
  </sheetViews>
  <sheetFormatPr baseColWidth="10" defaultColWidth="11.5" defaultRowHeight="13"/>
  <cols>
    <col min="1" max="1" width="9.33203125" style="6" customWidth="1"/>
    <col min="2" max="2" width="11.6640625" style="6" customWidth="1"/>
    <col min="3" max="3" width="37" style="13" customWidth="1"/>
    <col min="4" max="4" width="3.6640625" style="13" customWidth="1"/>
    <col min="5" max="5" width="15.83203125" style="6" customWidth="1"/>
    <col min="6" max="6" width="14.5" style="172" customWidth="1"/>
    <col min="7" max="7" width="15.5" style="172" customWidth="1"/>
    <col min="8" max="8" width="14" style="172" customWidth="1"/>
    <col min="9" max="10" width="11.5" style="6" customWidth="1"/>
    <col min="11" max="11" width="11.5" style="6"/>
    <col min="12" max="12" width="14.6640625" style="6" customWidth="1"/>
    <col min="13" max="13" width="13.5" style="6" customWidth="1"/>
    <col min="14" max="14" width="18" style="6" customWidth="1"/>
    <col min="15" max="15" width="16.6640625" style="6" customWidth="1"/>
    <col min="16" max="17" width="9.1640625" style="6" customWidth="1"/>
    <col min="18" max="18" width="15.5" style="6" customWidth="1"/>
    <col min="19" max="19" width="13.6640625" style="6" customWidth="1"/>
    <col min="20" max="20" width="16.6640625" style="6" customWidth="1"/>
    <col min="21" max="21" width="15.83203125" style="6" customWidth="1"/>
    <col min="22" max="23" width="9.1640625" style="6" customWidth="1"/>
    <col min="24" max="25" width="11.5" style="6"/>
    <col min="26" max="26" width="9.1640625" customWidth="1"/>
    <col min="27" max="27" width="16.5" style="6" customWidth="1"/>
    <col min="28" max="28" width="14.5" style="6" customWidth="1"/>
    <col min="29" max="29" width="15.83203125" style="6" customWidth="1"/>
    <col min="30" max="33" width="11.5" style="6"/>
    <col min="34" max="34" width="15.33203125" style="6" customWidth="1"/>
    <col min="35" max="35" width="14.33203125" style="6" customWidth="1"/>
    <col min="36" max="36" width="14.5" style="6" customWidth="1"/>
    <col min="37" max="39" width="11.5" style="6"/>
    <col min="40" max="40" width="14.5" style="6" customWidth="1"/>
    <col min="41" max="41" width="15.33203125" style="6" customWidth="1"/>
    <col min="42" max="42" width="16.83203125" style="6" customWidth="1"/>
    <col min="43" max="47" width="11.5" style="6"/>
  </cols>
  <sheetData>
    <row r="1" spans="1:47" ht="14" customHeight="1" thickTop="1">
      <c r="A1" s="323" t="s">
        <v>131</v>
      </c>
      <c r="B1" s="348" t="s">
        <v>132</v>
      </c>
      <c r="C1" s="28"/>
      <c r="D1" s="54"/>
      <c r="E1" s="310" t="s">
        <v>220</v>
      </c>
      <c r="F1" s="311"/>
      <c r="G1" s="311"/>
      <c r="H1" s="311"/>
      <c r="I1" s="311"/>
      <c r="J1" s="312"/>
      <c r="K1" s="370" t="s">
        <v>162</v>
      </c>
      <c r="L1" s="310" t="s">
        <v>221</v>
      </c>
      <c r="M1" s="311"/>
      <c r="N1" s="311"/>
      <c r="O1" s="311"/>
      <c r="P1" s="311"/>
      <c r="Q1" s="312"/>
      <c r="R1" s="310" t="s">
        <v>222</v>
      </c>
      <c r="S1" s="311"/>
      <c r="T1" s="311"/>
      <c r="U1" s="311"/>
      <c r="V1" s="311"/>
      <c r="W1" s="312"/>
      <c r="X1" s="372" t="s">
        <v>162</v>
      </c>
      <c r="Y1" s="373"/>
      <c r="AA1" s="310" t="s">
        <v>224</v>
      </c>
      <c r="AB1" s="311"/>
      <c r="AC1" s="311"/>
      <c r="AD1" s="311"/>
      <c r="AE1" s="311"/>
      <c r="AF1" s="312"/>
      <c r="AG1" s="370" t="s">
        <v>162</v>
      </c>
      <c r="AH1" s="310" t="s">
        <v>225</v>
      </c>
      <c r="AI1" s="311"/>
      <c r="AJ1" s="311"/>
      <c r="AK1" s="311"/>
      <c r="AL1" s="311"/>
      <c r="AM1" s="312"/>
      <c r="AN1" s="310" t="s">
        <v>226</v>
      </c>
      <c r="AO1" s="311"/>
      <c r="AP1" s="311"/>
      <c r="AQ1" s="311"/>
      <c r="AR1" s="311"/>
      <c r="AS1" s="312"/>
      <c r="AT1" s="372" t="s">
        <v>162</v>
      </c>
      <c r="AU1" s="373"/>
    </row>
    <row r="2" spans="1:47" ht="26.25" customHeight="1" thickBot="1">
      <c r="A2" s="324"/>
      <c r="B2" s="349"/>
      <c r="C2" s="29"/>
      <c r="D2" s="55"/>
      <c r="E2" s="313"/>
      <c r="F2" s="314"/>
      <c r="G2" s="314"/>
      <c r="H2" s="314"/>
      <c r="I2" s="314"/>
      <c r="J2" s="315"/>
      <c r="K2" s="371"/>
      <c r="L2" s="313"/>
      <c r="M2" s="314"/>
      <c r="N2" s="314"/>
      <c r="O2" s="314"/>
      <c r="P2" s="314"/>
      <c r="Q2" s="315"/>
      <c r="R2" s="313"/>
      <c r="S2" s="314"/>
      <c r="T2" s="314"/>
      <c r="U2" s="314"/>
      <c r="V2" s="314"/>
      <c r="W2" s="315"/>
      <c r="X2" s="374"/>
      <c r="Y2" s="375"/>
      <c r="AA2" s="313"/>
      <c r="AB2" s="314"/>
      <c r="AC2" s="314"/>
      <c r="AD2" s="314"/>
      <c r="AE2" s="314"/>
      <c r="AF2" s="315"/>
      <c r="AG2" s="371"/>
      <c r="AH2" s="313"/>
      <c r="AI2" s="314"/>
      <c r="AJ2" s="314"/>
      <c r="AK2" s="314"/>
      <c r="AL2" s="314"/>
      <c r="AM2" s="315"/>
      <c r="AN2" s="313"/>
      <c r="AO2" s="314"/>
      <c r="AP2" s="314"/>
      <c r="AQ2" s="314"/>
      <c r="AR2" s="314"/>
      <c r="AS2" s="315"/>
      <c r="AT2" s="374"/>
      <c r="AU2" s="375"/>
    </row>
    <row r="3" spans="1:47" ht="14" customHeight="1" thickBot="1">
      <c r="A3" s="324"/>
      <c r="B3" s="349"/>
      <c r="C3" s="30" t="s">
        <v>0</v>
      </c>
      <c r="D3" s="56"/>
      <c r="E3" s="392" t="s">
        <v>181</v>
      </c>
      <c r="F3" s="385" t="s">
        <v>1</v>
      </c>
      <c r="G3" s="386"/>
      <c r="H3" s="387" t="s">
        <v>134</v>
      </c>
      <c r="I3" s="387" t="s">
        <v>183</v>
      </c>
      <c r="J3" s="332" t="s">
        <v>135</v>
      </c>
      <c r="K3" s="382" t="s">
        <v>149</v>
      </c>
      <c r="L3" s="337" t="s">
        <v>181</v>
      </c>
      <c r="M3" s="340" t="s">
        <v>1</v>
      </c>
      <c r="N3" s="341"/>
      <c r="O3" s="329" t="s">
        <v>134</v>
      </c>
      <c r="P3" s="329" t="s">
        <v>183</v>
      </c>
      <c r="Q3" s="332" t="s">
        <v>135</v>
      </c>
      <c r="R3" s="337" t="s">
        <v>181</v>
      </c>
      <c r="S3" s="340" t="s">
        <v>1</v>
      </c>
      <c r="T3" s="341"/>
      <c r="U3" s="329" t="s">
        <v>134</v>
      </c>
      <c r="V3" s="329" t="s">
        <v>183</v>
      </c>
      <c r="W3" s="332" t="s">
        <v>135</v>
      </c>
      <c r="X3" s="376" t="s">
        <v>150</v>
      </c>
      <c r="Y3" s="379" t="s">
        <v>151</v>
      </c>
      <c r="AA3" s="392" t="s">
        <v>181</v>
      </c>
      <c r="AB3" s="385" t="s">
        <v>1</v>
      </c>
      <c r="AC3" s="386"/>
      <c r="AD3" s="387" t="s">
        <v>134</v>
      </c>
      <c r="AE3" s="387" t="s">
        <v>183</v>
      </c>
      <c r="AF3" s="332" t="s">
        <v>135</v>
      </c>
      <c r="AG3" s="382" t="s">
        <v>149</v>
      </c>
      <c r="AH3" s="337" t="s">
        <v>181</v>
      </c>
      <c r="AI3" s="340" t="s">
        <v>1</v>
      </c>
      <c r="AJ3" s="341"/>
      <c r="AK3" s="329" t="s">
        <v>134</v>
      </c>
      <c r="AL3" s="329" t="s">
        <v>183</v>
      </c>
      <c r="AM3" s="332" t="s">
        <v>135</v>
      </c>
      <c r="AN3" s="337" t="s">
        <v>181</v>
      </c>
      <c r="AO3" s="340" t="s">
        <v>1</v>
      </c>
      <c r="AP3" s="341"/>
      <c r="AQ3" s="329" t="s">
        <v>134</v>
      </c>
      <c r="AR3" s="329" t="s">
        <v>183</v>
      </c>
      <c r="AS3" s="332" t="s">
        <v>135</v>
      </c>
      <c r="AT3" s="376" t="s">
        <v>150</v>
      </c>
      <c r="AU3" s="379" t="s">
        <v>151</v>
      </c>
    </row>
    <row r="4" spans="1:47" ht="12.75" customHeight="1">
      <c r="A4" s="324"/>
      <c r="B4" s="349"/>
      <c r="C4" s="31" t="s">
        <v>2</v>
      </c>
      <c r="D4" s="57"/>
      <c r="E4" s="393"/>
      <c r="F4" s="390" t="s">
        <v>182</v>
      </c>
      <c r="G4" s="387" t="s">
        <v>133</v>
      </c>
      <c r="H4" s="388"/>
      <c r="I4" s="388"/>
      <c r="J4" s="333"/>
      <c r="K4" s="383"/>
      <c r="L4" s="338"/>
      <c r="M4" s="335" t="s">
        <v>182</v>
      </c>
      <c r="N4" s="329" t="s">
        <v>133</v>
      </c>
      <c r="O4" s="330"/>
      <c r="P4" s="330"/>
      <c r="Q4" s="333"/>
      <c r="R4" s="338"/>
      <c r="S4" s="335" t="s">
        <v>182</v>
      </c>
      <c r="T4" s="329" t="s">
        <v>133</v>
      </c>
      <c r="U4" s="330"/>
      <c r="V4" s="330"/>
      <c r="W4" s="333"/>
      <c r="X4" s="377"/>
      <c r="Y4" s="380"/>
      <c r="AA4" s="393"/>
      <c r="AB4" s="390" t="s">
        <v>182</v>
      </c>
      <c r="AC4" s="387" t="s">
        <v>133</v>
      </c>
      <c r="AD4" s="388"/>
      <c r="AE4" s="388"/>
      <c r="AF4" s="333"/>
      <c r="AG4" s="383"/>
      <c r="AH4" s="338"/>
      <c r="AI4" s="335" t="s">
        <v>182</v>
      </c>
      <c r="AJ4" s="329" t="s">
        <v>133</v>
      </c>
      <c r="AK4" s="330"/>
      <c r="AL4" s="330"/>
      <c r="AM4" s="333"/>
      <c r="AN4" s="338"/>
      <c r="AO4" s="335" t="s">
        <v>182</v>
      </c>
      <c r="AP4" s="329" t="s">
        <v>133</v>
      </c>
      <c r="AQ4" s="330"/>
      <c r="AR4" s="330"/>
      <c r="AS4" s="333"/>
      <c r="AT4" s="377"/>
      <c r="AU4" s="380"/>
    </row>
    <row r="5" spans="1:47" ht="21.75" customHeight="1" thickBot="1">
      <c r="A5" s="325"/>
      <c r="B5" s="350"/>
      <c r="C5" s="32"/>
      <c r="D5" s="56"/>
      <c r="E5" s="394"/>
      <c r="F5" s="391"/>
      <c r="G5" s="389"/>
      <c r="H5" s="389"/>
      <c r="I5" s="389"/>
      <c r="J5" s="334"/>
      <c r="K5" s="384"/>
      <c r="L5" s="339"/>
      <c r="M5" s="336"/>
      <c r="N5" s="331"/>
      <c r="O5" s="331"/>
      <c r="P5" s="331"/>
      <c r="Q5" s="334"/>
      <c r="R5" s="339"/>
      <c r="S5" s="336"/>
      <c r="T5" s="331"/>
      <c r="U5" s="331"/>
      <c r="V5" s="331"/>
      <c r="W5" s="334"/>
      <c r="X5" s="378"/>
      <c r="Y5" s="381"/>
      <c r="AA5" s="394"/>
      <c r="AB5" s="391"/>
      <c r="AC5" s="389"/>
      <c r="AD5" s="389"/>
      <c r="AE5" s="389"/>
      <c r="AF5" s="334"/>
      <c r="AG5" s="384"/>
      <c r="AH5" s="339"/>
      <c r="AI5" s="336"/>
      <c r="AJ5" s="331"/>
      <c r="AK5" s="331"/>
      <c r="AL5" s="331"/>
      <c r="AM5" s="334"/>
      <c r="AN5" s="339"/>
      <c r="AO5" s="336"/>
      <c r="AP5" s="331"/>
      <c r="AQ5" s="331"/>
      <c r="AR5" s="331"/>
      <c r="AS5" s="334"/>
      <c r="AT5" s="378"/>
      <c r="AU5" s="381"/>
    </row>
    <row r="6" spans="1:47" ht="18" customHeight="1" thickTop="1">
      <c r="A6" s="65">
        <v>301</v>
      </c>
      <c r="B6" s="68" t="s">
        <v>3</v>
      </c>
      <c r="C6" s="33" t="s">
        <v>4</v>
      </c>
      <c r="D6" s="41"/>
      <c r="E6" s="75">
        <v>0</v>
      </c>
      <c r="F6" s="76">
        <v>0</v>
      </c>
      <c r="G6" s="76">
        <v>0</v>
      </c>
      <c r="H6" s="76">
        <v>0</v>
      </c>
      <c r="I6" s="76">
        <v>0</v>
      </c>
      <c r="J6" s="77">
        <f t="shared" ref="J6:J39" si="0">RANK(I6,I$6:I$48,0)</f>
        <v>5</v>
      </c>
      <c r="K6" s="432"/>
      <c r="L6" s="75">
        <v>0</v>
      </c>
      <c r="M6" s="76">
        <v>0</v>
      </c>
      <c r="N6" s="76">
        <v>0</v>
      </c>
      <c r="O6" s="76">
        <v>0</v>
      </c>
      <c r="P6" s="76">
        <v>0</v>
      </c>
      <c r="Q6" s="77">
        <f t="shared" ref="Q6:Q39" si="1">RANK(P6,P$6:P$48,0)</f>
        <v>5</v>
      </c>
      <c r="R6" s="75">
        <v>0</v>
      </c>
      <c r="S6" s="76">
        <v>0</v>
      </c>
      <c r="T6" s="76">
        <v>0</v>
      </c>
      <c r="U6" s="76">
        <v>0</v>
      </c>
      <c r="V6" s="76">
        <v>0</v>
      </c>
      <c r="W6" s="77">
        <f t="shared" ref="W6:W39" si="2">RANK(V6,V$6:V$48,0)</f>
        <v>5</v>
      </c>
      <c r="X6" s="37">
        <v>115.9724901831718</v>
      </c>
      <c r="Y6" s="38">
        <v>102.40099406766075</v>
      </c>
      <c r="AA6" s="75">
        <v>0</v>
      </c>
      <c r="AB6" s="76">
        <v>0</v>
      </c>
      <c r="AC6" s="76">
        <v>0</v>
      </c>
      <c r="AD6" s="76">
        <v>0</v>
      </c>
      <c r="AE6" s="76">
        <v>0</v>
      </c>
      <c r="AF6" s="77">
        <f t="shared" ref="AF6:AF39" si="3">RANK(AE6,AE$6:AE$48,0)</f>
        <v>5</v>
      </c>
      <c r="AG6" s="432"/>
      <c r="AH6" s="75">
        <v>0</v>
      </c>
      <c r="AI6" s="76">
        <v>0</v>
      </c>
      <c r="AJ6" s="76">
        <v>0</v>
      </c>
      <c r="AK6" s="76">
        <v>0</v>
      </c>
      <c r="AL6" s="76">
        <v>0</v>
      </c>
      <c r="AM6" s="77">
        <f t="shared" ref="AM6:AM39" si="4">RANK(AL6,AL$6:AL$48,0)</f>
        <v>5</v>
      </c>
      <c r="AN6" s="75">
        <v>0</v>
      </c>
      <c r="AO6" s="76">
        <v>0</v>
      </c>
      <c r="AP6" s="76">
        <v>0</v>
      </c>
      <c r="AQ6" s="76">
        <v>0</v>
      </c>
      <c r="AR6" s="76">
        <v>0</v>
      </c>
      <c r="AS6" s="77">
        <f t="shared" ref="AS6:AS39" si="5">RANK(AR6,AR$6:AR$48,0)</f>
        <v>5</v>
      </c>
      <c r="AT6" s="37">
        <v>115.9724901831718</v>
      </c>
      <c r="AU6" s="38">
        <v>102.40099406766075</v>
      </c>
    </row>
    <row r="7" spans="1:47" ht="18" customHeight="1">
      <c r="A7" s="65">
        <v>302</v>
      </c>
      <c r="B7" s="68" t="s">
        <v>5</v>
      </c>
      <c r="C7" s="33" t="s">
        <v>6</v>
      </c>
      <c r="D7" s="41"/>
      <c r="E7" s="75">
        <v>0</v>
      </c>
      <c r="F7" s="76">
        <v>0</v>
      </c>
      <c r="G7" s="76">
        <v>0</v>
      </c>
      <c r="H7" s="76">
        <v>0</v>
      </c>
      <c r="I7" s="76">
        <v>0</v>
      </c>
      <c r="J7" s="77">
        <f t="shared" si="0"/>
        <v>5</v>
      </c>
      <c r="K7" s="432"/>
      <c r="L7" s="24">
        <v>0</v>
      </c>
      <c r="M7" s="14">
        <v>0</v>
      </c>
      <c r="N7" s="14">
        <v>0</v>
      </c>
      <c r="O7" s="14">
        <v>0</v>
      </c>
      <c r="P7" s="14">
        <v>0</v>
      </c>
      <c r="Q7" s="77">
        <f t="shared" si="1"/>
        <v>5</v>
      </c>
      <c r="R7" s="24">
        <v>0</v>
      </c>
      <c r="S7" s="14">
        <v>0</v>
      </c>
      <c r="T7" s="14">
        <v>0</v>
      </c>
      <c r="U7" s="14">
        <v>0</v>
      </c>
      <c r="V7" s="14">
        <v>0</v>
      </c>
      <c r="W7" s="77">
        <f t="shared" si="2"/>
        <v>5</v>
      </c>
      <c r="X7" s="37"/>
      <c r="Y7" s="38"/>
      <c r="AA7" s="75">
        <v>0</v>
      </c>
      <c r="AB7" s="76">
        <v>0</v>
      </c>
      <c r="AC7" s="76">
        <v>0</v>
      </c>
      <c r="AD7" s="76">
        <v>0</v>
      </c>
      <c r="AE7" s="76">
        <v>0</v>
      </c>
      <c r="AF7" s="77">
        <f t="shared" si="3"/>
        <v>5</v>
      </c>
      <c r="AG7" s="432"/>
      <c r="AH7" s="24">
        <v>0</v>
      </c>
      <c r="AI7" s="14">
        <v>0</v>
      </c>
      <c r="AJ7" s="14">
        <v>0</v>
      </c>
      <c r="AK7" s="14">
        <v>0</v>
      </c>
      <c r="AL7" s="14">
        <v>0</v>
      </c>
      <c r="AM7" s="77">
        <f t="shared" si="4"/>
        <v>5</v>
      </c>
      <c r="AN7" s="24">
        <v>0</v>
      </c>
      <c r="AO7" s="14">
        <v>0</v>
      </c>
      <c r="AP7" s="14">
        <v>0</v>
      </c>
      <c r="AQ7" s="14">
        <v>0</v>
      </c>
      <c r="AR7" s="14">
        <v>0</v>
      </c>
      <c r="AS7" s="77">
        <f t="shared" si="5"/>
        <v>5</v>
      </c>
      <c r="AT7" s="37"/>
      <c r="AU7" s="38"/>
    </row>
    <row r="8" spans="1:47" ht="18" customHeight="1">
      <c r="A8" s="65">
        <v>303</v>
      </c>
      <c r="B8" s="68" t="s">
        <v>7</v>
      </c>
      <c r="C8" s="33" t="s">
        <v>8</v>
      </c>
      <c r="D8" s="41"/>
      <c r="E8" s="75">
        <v>0</v>
      </c>
      <c r="F8" s="76">
        <v>0</v>
      </c>
      <c r="G8" s="76">
        <v>0</v>
      </c>
      <c r="H8" s="76">
        <v>0</v>
      </c>
      <c r="I8" s="76">
        <v>0</v>
      </c>
      <c r="J8" s="77">
        <f t="shared" si="0"/>
        <v>5</v>
      </c>
      <c r="K8" s="432"/>
      <c r="L8" s="24">
        <v>0</v>
      </c>
      <c r="M8" s="14">
        <v>0</v>
      </c>
      <c r="N8" s="14">
        <v>0</v>
      </c>
      <c r="O8" s="14">
        <v>0</v>
      </c>
      <c r="P8" s="14">
        <v>0</v>
      </c>
      <c r="Q8" s="77">
        <f t="shared" si="1"/>
        <v>5</v>
      </c>
      <c r="R8" s="24">
        <v>0</v>
      </c>
      <c r="S8" s="14">
        <v>0</v>
      </c>
      <c r="T8" s="14">
        <v>0</v>
      </c>
      <c r="U8" s="14">
        <v>0</v>
      </c>
      <c r="V8" s="14">
        <v>0</v>
      </c>
      <c r="W8" s="77">
        <f t="shared" si="2"/>
        <v>5</v>
      </c>
      <c r="X8" s="37"/>
      <c r="Y8" s="38"/>
      <c r="AA8" s="75">
        <v>0</v>
      </c>
      <c r="AB8" s="76">
        <v>0</v>
      </c>
      <c r="AC8" s="76">
        <v>0</v>
      </c>
      <c r="AD8" s="76">
        <v>0</v>
      </c>
      <c r="AE8" s="76">
        <v>0</v>
      </c>
      <c r="AF8" s="77">
        <f t="shared" si="3"/>
        <v>5</v>
      </c>
      <c r="AG8" s="432"/>
      <c r="AH8" s="24">
        <v>0</v>
      </c>
      <c r="AI8" s="14">
        <v>0</v>
      </c>
      <c r="AJ8" s="14">
        <v>0</v>
      </c>
      <c r="AK8" s="14">
        <v>0</v>
      </c>
      <c r="AL8" s="14">
        <v>0</v>
      </c>
      <c r="AM8" s="77">
        <f t="shared" si="4"/>
        <v>5</v>
      </c>
      <c r="AN8" s="24">
        <v>0</v>
      </c>
      <c r="AO8" s="14">
        <v>0</v>
      </c>
      <c r="AP8" s="14">
        <v>0</v>
      </c>
      <c r="AQ8" s="14">
        <v>0</v>
      </c>
      <c r="AR8" s="14">
        <v>0</v>
      </c>
      <c r="AS8" s="77">
        <f t="shared" si="5"/>
        <v>5</v>
      </c>
      <c r="AT8" s="37"/>
      <c r="AU8" s="38"/>
    </row>
    <row r="9" spans="1:47" ht="18" customHeight="1">
      <c r="A9" s="65">
        <v>304</v>
      </c>
      <c r="B9" s="68" t="s">
        <v>9</v>
      </c>
      <c r="C9" s="33" t="s">
        <v>10</v>
      </c>
      <c r="D9" s="41"/>
      <c r="E9" s="75">
        <v>0</v>
      </c>
      <c r="F9" s="76">
        <v>0</v>
      </c>
      <c r="G9" s="76">
        <v>0</v>
      </c>
      <c r="H9" s="76">
        <v>0</v>
      </c>
      <c r="I9" s="76">
        <v>0</v>
      </c>
      <c r="J9" s="77">
        <f t="shared" si="0"/>
        <v>5</v>
      </c>
      <c r="K9" s="432"/>
      <c r="L9" s="24">
        <v>0</v>
      </c>
      <c r="M9" s="14">
        <v>0</v>
      </c>
      <c r="N9" s="14">
        <v>0</v>
      </c>
      <c r="O9" s="14">
        <v>0</v>
      </c>
      <c r="P9" s="14">
        <v>0</v>
      </c>
      <c r="Q9" s="77">
        <f t="shared" si="1"/>
        <v>5</v>
      </c>
      <c r="R9" s="24">
        <v>0</v>
      </c>
      <c r="S9" s="14">
        <v>0</v>
      </c>
      <c r="T9" s="14">
        <v>0</v>
      </c>
      <c r="U9" s="14">
        <v>0</v>
      </c>
      <c r="V9" s="14">
        <v>0</v>
      </c>
      <c r="W9" s="77">
        <f t="shared" si="2"/>
        <v>5</v>
      </c>
      <c r="X9" s="37"/>
      <c r="Y9" s="38"/>
      <c r="AA9" s="75">
        <v>0</v>
      </c>
      <c r="AB9" s="76">
        <v>0</v>
      </c>
      <c r="AC9" s="76">
        <v>0</v>
      </c>
      <c r="AD9" s="76">
        <v>0</v>
      </c>
      <c r="AE9" s="76">
        <v>0</v>
      </c>
      <c r="AF9" s="77">
        <f t="shared" si="3"/>
        <v>5</v>
      </c>
      <c r="AG9" s="432"/>
      <c r="AH9" s="24">
        <v>0</v>
      </c>
      <c r="AI9" s="14">
        <v>0</v>
      </c>
      <c r="AJ9" s="14">
        <v>0</v>
      </c>
      <c r="AK9" s="14">
        <v>0</v>
      </c>
      <c r="AL9" s="14">
        <v>0</v>
      </c>
      <c r="AM9" s="77">
        <f t="shared" si="4"/>
        <v>5</v>
      </c>
      <c r="AN9" s="24">
        <v>0</v>
      </c>
      <c r="AO9" s="14">
        <v>0</v>
      </c>
      <c r="AP9" s="14">
        <v>0</v>
      </c>
      <c r="AQ9" s="14">
        <v>0</v>
      </c>
      <c r="AR9" s="14">
        <v>0</v>
      </c>
      <c r="AS9" s="77">
        <f t="shared" si="5"/>
        <v>5</v>
      </c>
      <c r="AT9" s="37"/>
      <c r="AU9" s="38"/>
    </row>
    <row r="10" spans="1:47" ht="18" customHeight="1">
      <c r="A10" s="65">
        <v>306</v>
      </c>
      <c r="B10" s="68" t="s">
        <v>11</v>
      </c>
      <c r="C10" s="33" t="s">
        <v>12</v>
      </c>
      <c r="D10" s="41"/>
      <c r="E10" s="75">
        <v>0</v>
      </c>
      <c r="F10" s="76">
        <v>0</v>
      </c>
      <c r="G10" s="76">
        <v>0</v>
      </c>
      <c r="H10" s="76">
        <v>0</v>
      </c>
      <c r="I10" s="76">
        <v>0</v>
      </c>
      <c r="J10" s="77">
        <f t="shared" si="0"/>
        <v>5</v>
      </c>
      <c r="K10" s="432"/>
      <c r="L10" s="24">
        <v>0</v>
      </c>
      <c r="M10" s="14">
        <v>0</v>
      </c>
      <c r="N10" s="14">
        <v>0</v>
      </c>
      <c r="O10" s="14">
        <v>0</v>
      </c>
      <c r="P10" s="14">
        <v>0</v>
      </c>
      <c r="Q10" s="77">
        <f t="shared" si="1"/>
        <v>5</v>
      </c>
      <c r="R10" s="24">
        <v>0</v>
      </c>
      <c r="S10" s="14">
        <v>0</v>
      </c>
      <c r="T10" s="14">
        <v>0</v>
      </c>
      <c r="U10" s="14">
        <v>0</v>
      </c>
      <c r="V10" s="14">
        <v>0</v>
      </c>
      <c r="W10" s="77">
        <f t="shared" si="2"/>
        <v>5</v>
      </c>
      <c r="X10" s="37"/>
      <c r="Y10" s="38"/>
      <c r="AA10" s="75">
        <v>0</v>
      </c>
      <c r="AB10" s="76">
        <v>0</v>
      </c>
      <c r="AC10" s="76">
        <v>0</v>
      </c>
      <c r="AD10" s="76">
        <v>0</v>
      </c>
      <c r="AE10" s="76">
        <v>0</v>
      </c>
      <c r="AF10" s="77">
        <f t="shared" si="3"/>
        <v>5</v>
      </c>
      <c r="AG10" s="432"/>
      <c r="AH10" s="24">
        <v>0</v>
      </c>
      <c r="AI10" s="14">
        <v>0</v>
      </c>
      <c r="AJ10" s="14">
        <v>0</v>
      </c>
      <c r="AK10" s="14">
        <v>0</v>
      </c>
      <c r="AL10" s="14">
        <v>0</v>
      </c>
      <c r="AM10" s="77">
        <f t="shared" si="4"/>
        <v>5</v>
      </c>
      <c r="AN10" s="24">
        <v>0</v>
      </c>
      <c r="AO10" s="14">
        <v>0</v>
      </c>
      <c r="AP10" s="14">
        <v>0</v>
      </c>
      <c r="AQ10" s="14">
        <v>0</v>
      </c>
      <c r="AR10" s="14">
        <v>0</v>
      </c>
      <c r="AS10" s="77">
        <f t="shared" si="5"/>
        <v>5</v>
      </c>
      <c r="AT10" s="37"/>
      <c r="AU10" s="38"/>
    </row>
    <row r="11" spans="1:47" ht="18" customHeight="1">
      <c r="A11" s="65">
        <v>307</v>
      </c>
      <c r="B11" s="68" t="s">
        <v>13</v>
      </c>
      <c r="C11" s="33" t="s">
        <v>14</v>
      </c>
      <c r="D11" s="41"/>
      <c r="E11" s="75">
        <v>520977392</v>
      </c>
      <c r="F11" s="76">
        <v>10172425</v>
      </c>
      <c r="G11" s="76">
        <v>510804967</v>
      </c>
      <c r="H11" s="76">
        <v>834</v>
      </c>
      <c r="I11" s="76">
        <v>51040</v>
      </c>
      <c r="J11" s="77">
        <f t="shared" si="0"/>
        <v>1</v>
      </c>
      <c r="K11" s="432"/>
      <c r="L11" s="24">
        <v>530949622</v>
      </c>
      <c r="M11" s="14">
        <v>11027425</v>
      </c>
      <c r="N11" s="14">
        <v>519922197</v>
      </c>
      <c r="O11" s="14">
        <v>834</v>
      </c>
      <c r="P11" s="14">
        <v>51951</v>
      </c>
      <c r="Q11" s="77">
        <f t="shared" si="1"/>
        <v>1</v>
      </c>
      <c r="R11" s="24">
        <v>477641858</v>
      </c>
      <c r="S11" s="14">
        <v>23212160</v>
      </c>
      <c r="T11" s="14">
        <v>454429698</v>
      </c>
      <c r="U11" s="14">
        <v>731.65</v>
      </c>
      <c r="V11" s="14">
        <v>51759</v>
      </c>
      <c r="W11" s="77">
        <f t="shared" si="2"/>
        <v>1</v>
      </c>
      <c r="X11" s="37"/>
      <c r="Y11" s="38"/>
      <c r="AA11" s="75">
        <v>596228951</v>
      </c>
      <c r="AB11" s="76">
        <v>9172425</v>
      </c>
      <c r="AC11" s="76">
        <v>587056526</v>
      </c>
      <c r="AD11" s="76">
        <v>892</v>
      </c>
      <c r="AE11" s="76">
        <v>54845</v>
      </c>
      <c r="AF11" s="77">
        <f t="shared" si="3"/>
        <v>1</v>
      </c>
      <c r="AG11" s="432"/>
      <c r="AH11" s="24">
        <v>553929161</v>
      </c>
      <c r="AI11" s="14">
        <v>9172425</v>
      </c>
      <c r="AJ11" s="14">
        <v>544756736</v>
      </c>
      <c r="AK11" s="14">
        <v>892</v>
      </c>
      <c r="AL11" s="14">
        <v>50893</v>
      </c>
      <c r="AM11" s="77">
        <f t="shared" si="4"/>
        <v>1</v>
      </c>
      <c r="AN11" s="24">
        <v>516465790</v>
      </c>
      <c r="AO11" s="14">
        <v>16765960</v>
      </c>
      <c r="AP11" s="14">
        <v>499699830</v>
      </c>
      <c r="AQ11" s="14">
        <v>762.83</v>
      </c>
      <c r="AR11" s="14">
        <v>54588</v>
      </c>
      <c r="AS11" s="77">
        <f t="shared" si="5"/>
        <v>3</v>
      </c>
      <c r="AT11" s="37"/>
      <c r="AU11" s="38"/>
    </row>
    <row r="12" spans="1:47" ht="18" customHeight="1">
      <c r="A12" s="65">
        <v>308</v>
      </c>
      <c r="B12" s="68" t="s">
        <v>80</v>
      </c>
      <c r="C12" s="33" t="s">
        <v>81</v>
      </c>
      <c r="D12" s="41"/>
      <c r="E12" s="75">
        <v>0</v>
      </c>
      <c r="F12" s="76">
        <v>0</v>
      </c>
      <c r="G12" s="76">
        <v>0</v>
      </c>
      <c r="H12" s="76">
        <v>0</v>
      </c>
      <c r="I12" s="76">
        <v>0</v>
      </c>
      <c r="J12" s="77">
        <f t="shared" si="0"/>
        <v>5</v>
      </c>
      <c r="K12" s="432"/>
      <c r="L12" s="24">
        <v>0</v>
      </c>
      <c r="M12" s="14">
        <v>0</v>
      </c>
      <c r="N12" s="14">
        <v>0</v>
      </c>
      <c r="O12" s="14">
        <v>0</v>
      </c>
      <c r="P12" s="14">
        <v>0</v>
      </c>
      <c r="Q12" s="77">
        <f t="shared" si="1"/>
        <v>5</v>
      </c>
      <c r="R12" s="24">
        <v>0</v>
      </c>
      <c r="S12" s="14">
        <v>0</v>
      </c>
      <c r="T12" s="14">
        <v>0</v>
      </c>
      <c r="U12" s="14">
        <v>0</v>
      </c>
      <c r="V12" s="14">
        <v>0</v>
      </c>
      <c r="W12" s="77">
        <f t="shared" si="2"/>
        <v>5</v>
      </c>
      <c r="X12" s="37"/>
      <c r="Y12" s="38"/>
      <c r="AA12" s="75">
        <v>0</v>
      </c>
      <c r="AB12" s="76">
        <v>0</v>
      </c>
      <c r="AC12" s="76">
        <v>0</v>
      </c>
      <c r="AD12" s="76">
        <v>0</v>
      </c>
      <c r="AE12" s="76">
        <v>0</v>
      </c>
      <c r="AF12" s="77">
        <f t="shared" si="3"/>
        <v>5</v>
      </c>
      <c r="AG12" s="432"/>
      <c r="AH12" s="24">
        <v>0</v>
      </c>
      <c r="AI12" s="14">
        <v>0</v>
      </c>
      <c r="AJ12" s="14">
        <v>0</v>
      </c>
      <c r="AK12" s="14">
        <v>0</v>
      </c>
      <c r="AL12" s="14">
        <v>0</v>
      </c>
      <c r="AM12" s="77">
        <f t="shared" si="4"/>
        <v>5</v>
      </c>
      <c r="AN12" s="24">
        <v>0</v>
      </c>
      <c r="AO12" s="14">
        <v>0</v>
      </c>
      <c r="AP12" s="14">
        <v>0</v>
      </c>
      <c r="AQ12" s="14">
        <v>0</v>
      </c>
      <c r="AR12" s="14">
        <v>0</v>
      </c>
      <c r="AS12" s="77">
        <f t="shared" si="5"/>
        <v>5</v>
      </c>
      <c r="AT12" s="37"/>
      <c r="AU12" s="38"/>
    </row>
    <row r="13" spans="1:47" ht="18" customHeight="1">
      <c r="A13" s="65">
        <v>309</v>
      </c>
      <c r="B13" s="68" t="s">
        <v>82</v>
      </c>
      <c r="C13" s="33" t="s">
        <v>91</v>
      </c>
      <c r="D13" s="41"/>
      <c r="E13" s="75">
        <v>0</v>
      </c>
      <c r="F13" s="76">
        <v>0</v>
      </c>
      <c r="G13" s="76">
        <v>0</v>
      </c>
      <c r="H13" s="76">
        <v>0</v>
      </c>
      <c r="I13" s="76">
        <v>0</v>
      </c>
      <c r="J13" s="77">
        <f t="shared" si="0"/>
        <v>5</v>
      </c>
      <c r="K13" s="432"/>
      <c r="L13" s="24">
        <v>0</v>
      </c>
      <c r="M13" s="14">
        <v>0</v>
      </c>
      <c r="N13" s="14">
        <v>0</v>
      </c>
      <c r="O13" s="14">
        <v>0</v>
      </c>
      <c r="P13" s="14">
        <v>0</v>
      </c>
      <c r="Q13" s="77">
        <f t="shared" si="1"/>
        <v>5</v>
      </c>
      <c r="R13" s="24">
        <v>0</v>
      </c>
      <c r="S13" s="14">
        <v>0</v>
      </c>
      <c r="T13" s="14">
        <v>0</v>
      </c>
      <c r="U13" s="14">
        <v>0</v>
      </c>
      <c r="V13" s="14">
        <v>0</v>
      </c>
      <c r="W13" s="77">
        <f t="shared" si="2"/>
        <v>5</v>
      </c>
      <c r="X13" s="37"/>
      <c r="Y13" s="38"/>
      <c r="AA13" s="75">
        <v>0</v>
      </c>
      <c r="AB13" s="76">
        <v>0</v>
      </c>
      <c r="AC13" s="76">
        <v>0</v>
      </c>
      <c r="AD13" s="76">
        <v>0</v>
      </c>
      <c r="AE13" s="76">
        <v>0</v>
      </c>
      <c r="AF13" s="77">
        <f t="shared" si="3"/>
        <v>5</v>
      </c>
      <c r="AG13" s="432"/>
      <c r="AH13" s="24">
        <v>0</v>
      </c>
      <c r="AI13" s="14">
        <v>0</v>
      </c>
      <c r="AJ13" s="14">
        <v>0</v>
      </c>
      <c r="AK13" s="14">
        <v>0</v>
      </c>
      <c r="AL13" s="14">
        <v>0</v>
      </c>
      <c r="AM13" s="77">
        <f t="shared" si="4"/>
        <v>5</v>
      </c>
      <c r="AN13" s="24">
        <v>0</v>
      </c>
      <c r="AO13" s="14">
        <v>0</v>
      </c>
      <c r="AP13" s="14">
        <v>0</v>
      </c>
      <c r="AQ13" s="14">
        <v>0</v>
      </c>
      <c r="AR13" s="14">
        <v>0</v>
      </c>
      <c r="AS13" s="77">
        <f t="shared" si="5"/>
        <v>5</v>
      </c>
      <c r="AT13" s="37"/>
      <c r="AU13" s="38"/>
    </row>
    <row r="14" spans="1:47" ht="18" customHeight="1">
      <c r="A14" s="65">
        <v>312</v>
      </c>
      <c r="B14" s="68" t="s">
        <v>15</v>
      </c>
      <c r="C14" s="33" t="s">
        <v>16</v>
      </c>
      <c r="D14" s="41"/>
      <c r="E14" s="75">
        <v>3279833656</v>
      </c>
      <c r="F14" s="76">
        <v>9009352</v>
      </c>
      <c r="G14" s="76">
        <v>3270824304</v>
      </c>
      <c r="H14" s="76">
        <v>5624</v>
      </c>
      <c r="I14" s="76">
        <v>48465</v>
      </c>
      <c r="J14" s="77">
        <f t="shared" si="0"/>
        <v>2</v>
      </c>
      <c r="K14" s="432"/>
      <c r="L14" s="24">
        <v>3280364243</v>
      </c>
      <c r="M14" s="14">
        <v>9539939</v>
      </c>
      <c r="N14" s="14">
        <v>3270824304</v>
      </c>
      <c r="O14" s="14">
        <v>5624</v>
      </c>
      <c r="P14" s="14">
        <v>48465</v>
      </c>
      <c r="Q14" s="77">
        <f t="shared" si="1"/>
        <v>2</v>
      </c>
      <c r="R14" s="24">
        <v>3150516717</v>
      </c>
      <c r="S14" s="14">
        <v>8359978</v>
      </c>
      <c r="T14" s="14">
        <v>3142156739</v>
      </c>
      <c r="U14" s="14">
        <v>5092.1000000000004</v>
      </c>
      <c r="V14" s="14">
        <v>51422</v>
      </c>
      <c r="W14" s="77">
        <f t="shared" si="2"/>
        <v>2</v>
      </c>
      <c r="X14" s="37"/>
      <c r="Y14" s="38"/>
      <c r="AA14" s="75">
        <v>3412902573</v>
      </c>
      <c r="AB14" s="76">
        <v>9009352</v>
      </c>
      <c r="AC14" s="76">
        <v>3403893221</v>
      </c>
      <c r="AD14" s="76">
        <v>5474</v>
      </c>
      <c r="AE14" s="76">
        <v>51819</v>
      </c>
      <c r="AF14" s="77">
        <f t="shared" si="3"/>
        <v>2</v>
      </c>
      <c r="AG14" s="432"/>
      <c r="AH14" s="24">
        <v>3298279523</v>
      </c>
      <c r="AI14" s="14">
        <v>11328976</v>
      </c>
      <c r="AJ14" s="14">
        <v>3286950547</v>
      </c>
      <c r="AK14" s="14">
        <v>5483</v>
      </c>
      <c r="AL14" s="14">
        <v>49957</v>
      </c>
      <c r="AM14" s="77">
        <f t="shared" si="4"/>
        <v>4</v>
      </c>
      <c r="AN14" s="24">
        <v>3253475496.2399998</v>
      </c>
      <c r="AO14" s="14">
        <v>10889398</v>
      </c>
      <c r="AP14" s="14">
        <v>3242586098.2399998</v>
      </c>
      <c r="AQ14" s="14">
        <v>4872.75</v>
      </c>
      <c r="AR14" s="14">
        <v>55454</v>
      </c>
      <c r="AS14" s="77">
        <f t="shared" si="5"/>
        <v>1</v>
      </c>
      <c r="AT14" s="37"/>
      <c r="AU14" s="38"/>
    </row>
    <row r="15" spans="1:47" ht="18" customHeight="1">
      <c r="A15" s="65">
        <v>313</v>
      </c>
      <c r="B15" s="68" t="s">
        <v>17</v>
      </c>
      <c r="C15" s="33" t="s">
        <v>18</v>
      </c>
      <c r="D15" s="41"/>
      <c r="E15" s="75">
        <v>0</v>
      </c>
      <c r="F15" s="76">
        <v>0</v>
      </c>
      <c r="G15" s="76">
        <v>0</v>
      </c>
      <c r="H15" s="76">
        <v>0</v>
      </c>
      <c r="I15" s="76">
        <v>0</v>
      </c>
      <c r="J15" s="77">
        <f t="shared" si="0"/>
        <v>5</v>
      </c>
      <c r="K15" s="432"/>
      <c r="L15" s="24">
        <v>0</v>
      </c>
      <c r="M15" s="14">
        <v>0</v>
      </c>
      <c r="N15" s="14">
        <v>0</v>
      </c>
      <c r="O15" s="14">
        <v>0</v>
      </c>
      <c r="P15" s="14">
        <v>0</v>
      </c>
      <c r="Q15" s="77">
        <f t="shared" si="1"/>
        <v>5</v>
      </c>
      <c r="R15" s="24">
        <v>0</v>
      </c>
      <c r="S15" s="14">
        <v>0</v>
      </c>
      <c r="T15" s="14">
        <v>0</v>
      </c>
      <c r="U15" s="14">
        <v>0</v>
      </c>
      <c r="V15" s="14">
        <v>0</v>
      </c>
      <c r="W15" s="77">
        <f t="shared" si="2"/>
        <v>5</v>
      </c>
      <c r="X15" s="37"/>
      <c r="Y15" s="38"/>
      <c r="AA15" s="75">
        <v>0</v>
      </c>
      <c r="AB15" s="76">
        <v>0</v>
      </c>
      <c r="AC15" s="76">
        <v>0</v>
      </c>
      <c r="AD15" s="76">
        <v>0</v>
      </c>
      <c r="AE15" s="76">
        <v>0</v>
      </c>
      <c r="AF15" s="77">
        <f t="shared" si="3"/>
        <v>5</v>
      </c>
      <c r="AG15" s="432"/>
      <c r="AH15" s="24">
        <v>0</v>
      </c>
      <c r="AI15" s="14">
        <v>0</v>
      </c>
      <c r="AJ15" s="14">
        <v>0</v>
      </c>
      <c r="AK15" s="14">
        <v>0</v>
      </c>
      <c r="AL15" s="14">
        <v>0</v>
      </c>
      <c r="AM15" s="77">
        <f t="shared" si="4"/>
        <v>5</v>
      </c>
      <c r="AN15" s="24">
        <v>0</v>
      </c>
      <c r="AO15" s="14">
        <v>0</v>
      </c>
      <c r="AP15" s="14">
        <v>0</v>
      </c>
      <c r="AQ15" s="14">
        <v>0</v>
      </c>
      <c r="AR15" s="14">
        <v>0</v>
      </c>
      <c r="AS15" s="77">
        <f t="shared" si="5"/>
        <v>5</v>
      </c>
      <c r="AT15" s="37"/>
      <c r="AU15" s="38"/>
    </row>
    <row r="16" spans="1:47" ht="18" customHeight="1">
      <c r="A16" s="65">
        <v>314</v>
      </c>
      <c r="B16" s="68" t="s">
        <v>19</v>
      </c>
      <c r="C16" s="33" t="s">
        <v>20</v>
      </c>
      <c r="D16" s="41"/>
      <c r="E16" s="75">
        <v>31616424588</v>
      </c>
      <c r="F16" s="76">
        <v>158035168</v>
      </c>
      <c r="G16" s="76">
        <v>31458389420</v>
      </c>
      <c r="H16" s="76">
        <v>55981</v>
      </c>
      <c r="I16" s="76">
        <v>46829</v>
      </c>
      <c r="J16" s="77">
        <f t="shared" si="0"/>
        <v>3</v>
      </c>
      <c r="K16" s="432"/>
      <c r="L16" s="24">
        <v>32166873194</v>
      </c>
      <c r="M16" s="14">
        <v>271521066</v>
      </c>
      <c r="N16" s="14">
        <v>31895352128</v>
      </c>
      <c r="O16" s="14">
        <v>56051</v>
      </c>
      <c r="P16" s="14">
        <v>47420</v>
      </c>
      <c r="Q16" s="77">
        <f t="shared" si="1"/>
        <v>3</v>
      </c>
      <c r="R16" s="24">
        <v>32336366514.829994</v>
      </c>
      <c r="S16" s="14">
        <v>304386226</v>
      </c>
      <c r="T16" s="14">
        <v>32031980288.829994</v>
      </c>
      <c r="U16" s="14">
        <v>52204.709999999992</v>
      </c>
      <c r="V16" s="14">
        <v>51132</v>
      </c>
      <c r="W16" s="77">
        <f t="shared" si="2"/>
        <v>3</v>
      </c>
      <c r="X16" s="37"/>
      <c r="Y16" s="38"/>
      <c r="AA16" s="75">
        <v>33970168199</v>
      </c>
      <c r="AB16" s="76">
        <v>158155168</v>
      </c>
      <c r="AC16" s="76">
        <v>33812013031</v>
      </c>
      <c r="AD16" s="76">
        <v>56068</v>
      </c>
      <c r="AE16" s="76">
        <v>50254</v>
      </c>
      <c r="AF16" s="77">
        <f t="shared" si="3"/>
        <v>4</v>
      </c>
      <c r="AG16" s="432"/>
      <c r="AH16" s="24">
        <v>34819599179</v>
      </c>
      <c r="AI16" s="14">
        <v>244131368</v>
      </c>
      <c r="AJ16" s="14">
        <v>34575467811</v>
      </c>
      <c r="AK16" s="14">
        <v>56978.66</v>
      </c>
      <c r="AL16" s="14">
        <v>50568</v>
      </c>
      <c r="AM16" s="77">
        <f t="shared" si="4"/>
        <v>3</v>
      </c>
      <c r="AN16" s="24">
        <v>34780169055.449997</v>
      </c>
      <c r="AO16" s="14">
        <v>335016158.76999998</v>
      </c>
      <c r="AP16" s="14">
        <v>34445152896.68</v>
      </c>
      <c r="AQ16" s="14">
        <v>52309.95</v>
      </c>
      <c r="AR16" s="14">
        <v>54873</v>
      </c>
      <c r="AS16" s="77">
        <f t="shared" si="5"/>
        <v>2</v>
      </c>
      <c r="AT16" s="37"/>
      <c r="AU16" s="38"/>
    </row>
    <row r="17" spans="1:47" ht="18" customHeight="1">
      <c r="A17" s="65">
        <v>315</v>
      </c>
      <c r="B17" s="68" t="s">
        <v>21</v>
      </c>
      <c r="C17" s="33" t="s">
        <v>22</v>
      </c>
      <c r="D17" s="41"/>
      <c r="E17" s="75">
        <v>0</v>
      </c>
      <c r="F17" s="76">
        <v>0</v>
      </c>
      <c r="G17" s="76">
        <v>0</v>
      </c>
      <c r="H17" s="76">
        <v>0</v>
      </c>
      <c r="I17" s="76">
        <v>0</v>
      </c>
      <c r="J17" s="77">
        <f t="shared" si="0"/>
        <v>5</v>
      </c>
      <c r="K17" s="432"/>
      <c r="L17" s="24">
        <v>0</v>
      </c>
      <c r="M17" s="14">
        <v>0</v>
      </c>
      <c r="N17" s="14">
        <v>0</v>
      </c>
      <c r="O17" s="14">
        <v>0</v>
      </c>
      <c r="P17" s="14">
        <v>0</v>
      </c>
      <c r="Q17" s="77">
        <f t="shared" si="1"/>
        <v>5</v>
      </c>
      <c r="R17" s="24">
        <v>0</v>
      </c>
      <c r="S17" s="14">
        <v>0</v>
      </c>
      <c r="T17" s="14">
        <v>0</v>
      </c>
      <c r="U17" s="14">
        <v>0</v>
      </c>
      <c r="V17" s="14">
        <v>0</v>
      </c>
      <c r="W17" s="77">
        <f t="shared" si="2"/>
        <v>5</v>
      </c>
      <c r="X17" s="37"/>
      <c r="Y17" s="38"/>
      <c r="AA17" s="75">
        <v>0</v>
      </c>
      <c r="AB17" s="76">
        <v>0</v>
      </c>
      <c r="AC17" s="76">
        <v>0</v>
      </c>
      <c r="AD17" s="76">
        <v>0</v>
      </c>
      <c r="AE17" s="76">
        <v>0</v>
      </c>
      <c r="AF17" s="77">
        <f t="shared" si="3"/>
        <v>5</v>
      </c>
      <c r="AG17" s="432"/>
      <c r="AH17" s="24">
        <v>0</v>
      </c>
      <c r="AI17" s="14">
        <v>0</v>
      </c>
      <c r="AJ17" s="14">
        <v>0</v>
      </c>
      <c r="AK17" s="14">
        <v>0</v>
      </c>
      <c r="AL17" s="14">
        <v>0</v>
      </c>
      <c r="AM17" s="77">
        <f t="shared" si="4"/>
        <v>5</v>
      </c>
      <c r="AN17" s="24">
        <v>0</v>
      </c>
      <c r="AO17" s="14">
        <v>0</v>
      </c>
      <c r="AP17" s="14">
        <v>0</v>
      </c>
      <c r="AQ17" s="14">
        <v>0</v>
      </c>
      <c r="AR17" s="14">
        <v>0</v>
      </c>
      <c r="AS17" s="77">
        <f t="shared" si="5"/>
        <v>5</v>
      </c>
      <c r="AT17" s="37"/>
      <c r="AU17" s="38"/>
    </row>
    <row r="18" spans="1:47" ht="18" customHeight="1">
      <c r="A18" s="65">
        <v>317</v>
      </c>
      <c r="B18" s="68" t="s">
        <v>23</v>
      </c>
      <c r="C18" s="33" t="s">
        <v>24</v>
      </c>
      <c r="D18" s="41"/>
      <c r="E18" s="75">
        <v>0</v>
      </c>
      <c r="F18" s="76">
        <v>0</v>
      </c>
      <c r="G18" s="76">
        <v>0</v>
      </c>
      <c r="H18" s="76">
        <v>0</v>
      </c>
      <c r="I18" s="76">
        <v>0</v>
      </c>
      <c r="J18" s="77">
        <f t="shared" si="0"/>
        <v>5</v>
      </c>
      <c r="K18" s="432"/>
      <c r="L18" s="24">
        <v>0</v>
      </c>
      <c r="M18" s="14">
        <v>0</v>
      </c>
      <c r="N18" s="14">
        <v>0</v>
      </c>
      <c r="O18" s="14">
        <v>0</v>
      </c>
      <c r="P18" s="14">
        <v>0</v>
      </c>
      <c r="Q18" s="77">
        <f t="shared" si="1"/>
        <v>5</v>
      </c>
      <c r="R18" s="24">
        <v>0</v>
      </c>
      <c r="S18" s="14">
        <v>0</v>
      </c>
      <c r="T18" s="14">
        <v>0</v>
      </c>
      <c r="U18" s="14">
        <v>0</v>
      </c>
      <c r="V18" s="14">
        <v>0</v>
      </c>
      <c r="W18" s="77">
        <f t="shared" si="2"/>
        <v>5</v>
      </c>
      <c r="X18" s="37"/>
      <c r="Y18" s="38"/>
      <c r="AA18" s="75">
        <v>0</v>
      </c>
      <c r="AB18" s="76">
        <v>0</v>
      </c>
      <c r="AC18" s="76">
        <v>0</v>
      </c>
      <c r="AD18" s="76">
        <v>0</v>
      </c>
      <c r="AE18" s="76">
        <v>0</v>
      </c>
      <c r="AF18" s="77">
        <f t="shared" si="3"/>
        <v>5</v>
      </c>
      <c r="AG18" s="432"/>
      <c r="AH18" s="24">
        <v>0</v>
      </c>
      <c r="AI18" s="14">
        <v>0</v>
      </c>
      <c r="AJ18" s="14">
        <v>0</v>
      </c>
      <c r="AK18" s="14">
        <v>0</v>
      </c>
      <c r="AL18" s="14">
        <v>0</v>
      </c>
      <c r="AM18" s="77">
        <f t="shared" si="4"/>
        <v>5</v>
      </c>
      <c r="AN18" s="24">
        <v>0</v>
      </c>
      <c r="AO18" s="14">
        <v>0</v>
      </c>
      <c r="AP18" s="14">
        <v>0</v>
      </c>
      <c r="AQ18" s="14">
        <v>0</v>
      </c>
      <c r="AR18" s="14">
        <v>0</v>
      </c>
      <c r="AS18" s="77">
        <f t="shared" si="5"/>
        <v>5</v>
      </c>
      <c r="AT18" s="37"/>
      <c r="AU18" s="38"/>
    </row>
    <row r="19" spans="1:47" ht="18" customHeight="1">
      <c r="A19" s="65">
        <v>321</v>
      </c>
      <c r="B19" s="68" t="s">
        <v>25</v>
      </c>
      <c r="C19" s="33" t="s">
        <v>26</v>
      </c>
      <c r="D19" s="41"/>
      <c r="E19" s="75">
        <v>0</v>
      </c>
      <c r="F19" s="76">
        <v>0</v>
      </c>
      <c r="G19" s="76">
        <v>0</v>
      </c>
      <c r="H19" s="76">
        <v>0</v>
      </c>
      <c r="I19" s="76">
        <v>0</v>
      </c>
      <c r="J19" s="77">
        <f t="shared" si="0"/>
        <v>5</v>
      </c>
      <c r="K19" s="432"/>
      <c r="L19" s="24">
        <v>0</v>
      </c>
      <c r="M19" s="14">
        <v>0</v>
      </c>
      <c r="N19" s="14">
        <v>0</v>
      </c>
      <c r="O19" s="14">
        <v>0</v>
      </c>
      <c r="P19" s="14">
        <v>0</v>
      </c>
      <c r="Q19" s="77">
        <f t="shared" si="1"/>
        <v>5</v>
      </c>
      <c r="R19" s="24">
        <v>0</v>
      </c>
      <c r="S19" s="14">
        <v>0</v>
      </c>
      <c r="T19" s="14">
        <v>0</v>
      </c>
      <c r="U19" s="14">
        <v>0</v>
      </c>
      <c r="V19" s="14">
        <v>0</v>
      </c>
      <c r="W19" s="77">
        <f t="shared" si="2"/>
        <v>5</v>
      </c>
      <c r="X19" s="37"/>
      <c r="Y19" s="38"/>
      <c r="AA19" s="75">
        <v>0</v>
      </c>
      <c r="AB19" s="76">
        <v>0</v>
      </c>
      <c r="AC19" s="76">
        <v>0</v>
      </c>
      <c r="AD19" s="76">
        <v>0</v>
      </c>
      <c r="AE19" s="76">
        <v>0</v>
      </c>
      <c r="AF19" s="77">
        <f t="shared" si="3"/>
        <v>5</v>
      </c>
      <c r="AG19" s="432"/>
      <c r="AH19" s="24">
        <v>0</v>
      </c>
      <c r="AI19" s="14">
        <v>0</v>
      </c>
      <c r="AJ19" s="14">
        <v>0</v>
      </c>
      <c r="AK19" s="14">
        <v>0</v>
      </c>
      <c r="AL19" s="14">
        <v>0</v>
      </c>
      <c r="AM19" s="77">
        <f t="shared" si="4"/>
        <v>5</v>
      </c>
      <c r="AN19" s="24">
        <v>0</v>
      </c>
      <c r="AO19" s="14">
        <v>0</v>
      </c>
      <c r="AP19" s="14">
        <v>0</v>
      </c>
      <c r="AQ19" s="14">
        <v>0</v>
      </c>
      <c r="AR19" s="14">
        <v>0</v>
      </c>
      <c r="AS19" s="77">
        <f t="shared" si="5"/>
        <v>5</v>
      </c>
      <c r="AT19" s="37"/>
      <c r="AU19" s="38"/>
    </row>
    <row r="20" spans="1:47" ht="18" customHeight="1">
      <c r="A20" s="65">
        <v>322</v>
      </c>
      <c r="B20" s="68" t="s">
        <v>27</v>
      </c>
      <c r="C20" s="33" t="s">
        <v>28</v>
      </c>
      <c r="D20" s="41"/>
      <c r="E20" s="75">
        <v>0</v>
      </c>
      <c r="F20" s="76">
        <v>0</v>
      </c>
      <c r="G20" s="76">
        <v>0</v>
      </c>
      <c r="H20" s="76">
        <v>0</v>
      </c>
      <c r="I20" s="76">
        <v>0</v>
      </c>
      <c r="J20" s="77">
        <f t="shared" si="0"/>
        <v>5</v>
      </c>
      <c r="K20" s="432"/>
      <c r="L20" s="24">
        <v>0</v>
      </c>
      <c r="M20" s="14">
        <v>0</v>
      </c>
      <c r="N20" s="14">
        <v>0</v>
      </c>
      <c r="O20" s="14">
        <v>0</v>
      </c>
      <c r="P20" s="14">
        <v>0</v>
      </c>
      <c r="Q20" s="77">
        <f t="shared" si="1"/>
        <v>5</v>
      </c>
      <c r="R20" s="24">
        <v>0</v>
      </c>
      <c r="S20" s="14">
        <v>0</v>
      </c>
      <c r="T20" s="14">
        <v>0</v>
      </c>
      <c r="U20" s="14">
        <v>0</v>
      </c>
      <c r="V20" s="14">
        <v>0</v>
      </c>
      <c r="W20" s="77">
        <f t="shared" si="2"/>
        <v>5</v>
      </c>
      <c r="X20" s="37"/>
      <c r="Y20" s="38"/>
      <c r="AA20" s="75">
        <v>0</v>
      </c>
      <c r="AB20" s="76">
        <v>0</v>
      </c>
      <c r="AC20" s="76">
        <v>0</v>
      </c>
      <c r="AD20" s="76">
        <v>0</v>
      </c>
      <c r="AE20" s="76">
        <v>0</v>
      </c>
      <c r="AF20" s="77">
        <f t="shared" si="3"/>
        <v>5</v>
      </c>
      <c r="AG20" s="432"/>
      <c r="AH20" s="24">
        <v>0</v>
      </c>
      <c r="AI20" s="14">
        <v>0</v>
      </c>
      <c r="AJ20" s="14">
        <v>0</v>
      </c>
      <c r="AK20" s="14">
        <v>0</v>
      </c>
      <c r="AL20" s="14">
        <v>0</v>
      </c>
      <c r="AM20" s="77">
        <f t="shared" si="4"/>
        <v>5</v>
      </c>
      <c r="AN20" s="24">
        <v>0</v>
      </c>
      <c r="AO20" s="14">
        <v>0</v>
      </c>
      <c r="AP20" s="14">
        <v>0</v>
      </c>
      <c r="AQ20" s="14">
        <v>0</v>
      </c>
      <c r="AR20" s="14">
        <v>0</v>
      </c>
      <c r="AS20" s="77">
        <f t="shared" si="5"/>
        <v>5</v>
      </c>
      <c r="AT20" s="37"/>
      <c r="AU20" s="38"/>
    </row>
    <row r="21" spans="1:47" ht="18" customHeight="1">
      <c r="A21" s="65">
        <v>327</v>
      </c>
      <c r="B21" s="68" t="s">
        <v>29</v>
      </c>
      <c r="C21" s="33" t="s">
        <v>30</v>
      </c>
      <c r="D21" s="41"/>
      <c r="E21" s="75">
        <v>0</v>
      </c>
      <c r="F21" s="76">
        <v>0</v>
      </c>
      <c r="G21" s="76">
        <v>0</v>
      </c>
      <c r="H21" s="76">
        <v>0</v>
      </c>
      <c r="I21" s="76">
        <v>0</v>
      </c>
      <c r="J21" s="77">
        <f t="shared" si="0"/>
        <v>5</v>
      </c>
      <c r="K21" s="432"/>
      <c r="L21" s="24">
        <v>0</v>
      </c>
      <c r="M21" s="14">
        <v>0</v>
      </c>
      <c r="N21" s="14">
        <v>0</v>
      </c>
      <c r="O21" s="14">
        <v>0</v>
      </c>
      <c r="P21" s="14">
        <v>0</v>
      </c>
      <c r="Q21" s="77">
        <f t="shared" si="1"/>
        <v>5</v>
      </c>
      <c r="R21" s="24">
        <v>0</v>
      </c>
      <c r="S21" s="14">
        <v>0</v>
      </c>
      <c r="T21" s="14">
        <v>0</v>
      </c>
      <c r="U21" s="14">
        <v>0</v>
      </c>
      <c r="V21" s="14">
        <v>0</v>
      </c>
      <c r="W21" s="77">
        <f t="shared" si="2"/>
        <v>5</v>
      </c>
      <c r="X21" s="37"/>
      <c r="Y21" s="38"/>
      <c r="AA21" s="75">
        <v>0</v>
      </c>
      <c r="AB21" s="76">
        <v>0</v>
      </c>
      <c r="AC21" s="76">
        <v>0</v>
      </c>
      <c r="AD21" s="76">
        <v>0</v>
      </c>
      <c r="AE21" s="76">
        <v>0</v>
      </c>
      <c r="AF21" s="77">
        <f t="shared" si="3"/>
        <v>5</v>
      </c>
      <c r="AG21" s="432"/>
      <c r="AH21" s="24">
        <v>0</v>
      </c>
      <c r="AI21" s="14">
        <v>0</v>
      </c>
      <c r="AJ21" s="14">
        <v>0</v>
      </c>
      <c r="AK21" s="14">
        <v>0</v>
      </c>
      <c r="AL21" s="14">
        <v>0</v>
      </c>
      <c r="AM21" s="77">
        <f t="shared" si="4"/>
        <v>5</v>
      </c>
      <c r="AN21" s="24">
        <v>0</v>
      </c>
      <c r="AO21" s="14">
        <v>0</v>
      </c>
      <c r="AP21" s="14">
        <v>0</v>
      </c>
      <c r="AQ21" s="14">
        <v>0</v>
      </c>
      <c r="AR21" s="14">
        <v>0</v>
      </c>
      <c r="AS21" s="77">
        <f t="shared" si="5"/>
        <v>5</v>
      </c>
      <c r="AT21" s="37"/>
      <c r="AU21" s="38"/>
    </row>
    <row r="22" spans="1:47" ht="18" customHeight="1">
      <c r="A22" s="65">
        <v>328</v>
      </c>
      <c r="B22" s="68" t="s">
        <v>87</v>
      </c>
      <c r="C22" s="33" t="s">
        <v>85</v>
      </c>
      <c r="D22" s="41"/>
      <c r="E22" s="75">
        <v>0</v>
      </c>
      <c r="F22" s="76">
        <v>0</v>
      </c>
      <c r="G22" s="76">
        <v>0</v>
      </c>
      <c r="H22" s="76">
        <v>0</v>
      </c>
      <c r="I22" s="76">
        <v>0</v>
      </c>
      <c r="J22" s="77">
        <f t="shared" si="0"/>
        <v>5</v>
      </c>
      <c r="K22" s="432"/>
      <c r="L22" s="24">
        <v>0</v>
      </c>
      <c r="M22" s="14">
        <v>0</v>
      </c>
      <c r="N22" s="14">
        <v>0</v>
      </c>
      <c r="O22" s="14">
        <v>0</v>
      </c>
      <c r="P22" s="14">
        <v>0</v>
      </c>
      <c r="Q22" s="77">
        <f t="shared" si="1"/>
        <v>5</v>
      </c>
      <c r="R22" s="24">
        <v>0</v>
      </c>
      <c r="S22" s="14">
        <v>0</v>
      </c>
      <c r="T22" s="14">
        <v>0</v>
      </c>
      <c r="U22" s="14">
        <v>0</v>
      </c>
      <c r="V22" s="14">
        <v>0</v>
      </c>
      <c r="W22" s="77">
        <f t="shared" si="2"/>
        <v>5</v>
      </c>
      <c r="X22" s="37"/>
      <c r="Y22" s="38"/>
      <c r="AA22" s="75">
        <v>0</v>
      </c>
      <c r="AB22" s="76">
        <v>0</v>
      </c>
      <c r="AC22" s="76">
        <v>0</v>
      </c>
      <c r="AD22" s="76">
        <v>0</v>
      </c>
      <c r="AE22" s="76">
        <v>0</v>
      </c>
      <c r="AF22" s="77">
        <f t="shared" si="3"/>
        <v>5</v>
      </c>
      <c r="AG22" s="432"/>
      <c r="AH22" s="24">
        <v>0</v>
      </c>
      <c r="AI22" s="14">
        <v>0</v>
      </c>
      <c r="AJ22" s="14">
        <v>0</v>
      </c>
      <c r="AK22" s="14">
        <v>0</v>
      </c>
      <c r="AL22" s="14">
        <v>0</v>
      </c>
      <c r="AM22" s="77">
        <f t="shared" si="4"/>
        <v>5</v>
      </c>
      <c r="AN22" s="24">
        <v>0</v>
      </c>
      <c r="AO22" s="14">
        <v>0</v>
      </c>
      <c r="AP22" s="14">
        <v>0</v>
      </c>
      <c r="AQ22" s="14">
        <v>0</v>
      </c>
      <c r="AR22" s="14">
        <v>0</v>
      </c>
      <c r="AS22" s="77">
        <f t="shared" si="5"/>
        <v>5</v>
      </c>
      <c r="AT22" s="37"/>
      <c r="AU22" s="38"/>
    </row>
    <row r="23" spans="1:47" ht="18" customHeight="1">
      <c r="A23" s="65">
        <v>329</v>
      </c>
      <c r="B23" s="68" t="s">
        <v>31</v>
      </c>
      <c r="C23" s="33" t="s">
        <v>32</v>
      </c>
      <c r="D23" s="41"/>
      <c r="E23" s="75">
        <v>0</v>
      </c>
      <c r="F23" s="76">
        <v>0</v>
      </c>
      <c r="G23" s="76">
        <v>0</v>
      </c>
      <c r="H23" s="76">
        <v>0</v>
      </c>
      <c r="I23" s="76">
        <v>0</v>
      </c>
      <c r="J23" s="77">
        <f t="shared" si="0"/>
        <v>5</v>
      </c>
      <c r="K23" s="432"/>
      <c r="L23" s="24">
        <v>0</v>
      </c>
      <c r="M23" s="14">
        <v>0</v>
      </c>
      <c r="N23" s="14">
        <v>0</v>
      </c>
      <c r="O23" s="14">
        <v>0</v>
      </c>
      <c r="P23" s="14">
        <v>0</v>
      </c>
      <c r="Q23" s="77">
        <f t="shared" si="1"/>
        <v>5</v>
      </c>
      <c r="R23" s="24">
        <v>0</v>
      </c>
      <c r="S23" s="14">
        <v>0</v>
      </c>
      <c r="T23" s="14">
        <v>0</v>
      </c>
      <c r="U23" s="14">
        <v>0</v>
      </c>
      <c r="V23" s="14">
        <v>0</v>
      </c>
      <c r="W23" s="77">
        <f t="shared" si="2"/>
        <v>5</v>
      </c>
      <c r="X23" s="37"/>
      <c r="Y23" s="38"/>
      <c r="AA23" s="75">
        <v>0</v>
      </c>
      <c r="AB23" s="76">
        <v>0</v>
      </c>
      <c r="AC23" s="76">
        <v>0</v>
      </c>
      <c r="AD23" s="76">
        <v>0</v>
      </c>
      <c r="AE23" s="76">
        <v>0</v>
      </c>
      <c r="AF23" s="77">
        <f t="shared" si="3"/>
        <v>5</v>
      </c>
      <c r="AG23" s="432"/>
      <c r="AH23" s="24">
        <v>0</v>
      </c>
      <c r="AI23" s="14">
        <v>0</v>
      </c>
      <c r="AJ23" s="14">
        <v>0</v>
      </c>
      <c r="AK23" s="14">
        <v>0</v>
      </c>
      <c r="AL23" s="14">
        <v>0</v>
      </c>
      <c r="AM23" s="77">
        <f t="shared" si="4"/>
        <v>5</v>
      </c>
      <c r="AN23" s="24">
        <v>0</v>
      </c>
      <c r="AO23" s="14">
        <v>0</v>
      </c>
      <c r="AP23" s="14">
        <v>0</v>
      </c>
      <c r="AQ23" s="14">
        <v>0</v>
      </c>
      <c r="AR23" s="14">
        <v>0</v>
      </c>
      <c r="AS23" s="77">
        <f t="shared" si="5"/>
        <v>5</v>
      </c>
      <c r="AT23" s="37"/>
      <c r="AU23" s="38"/>
    </row>
    <row r="24" spans="1:47" ht="18" customHeight="1">
      <c r="A24" s="65">
        <v>333</v>
      </c>
      <c r="B24" s="68" t="s">
        <v>33</v>
      </c>
      <c r="C24" s="33" t="s">
        <v>34</v>
      </c>
      <c r="D24" s="41"/>
      <c r="E24" s="75">
        <v>0</v>
      </c>
      <c r="F24" s="76">
        <v>0</v>
      </c>
      <c r="G24" s="76">
        <v>0</v>
      </c>
      <c r="H24" s="76">
        <v>0</v>
      </c>
      <c r="I24" s="76">
        <v>0</v>
      </c>
      <c r="J24" s="77">
        <f t="shared" si="0"/>
        <v>5</v>
      </c>
      <c r="K24" s="432"/>
      <c r="L24" s="24">
        <v>0</v>
      </c>
      <c r="M24" s="14">
        <v>0</v>
      </c>
      <c r="N24" s="14">
        <v>0</v>
      </c>
      <c r="O24" s="14">
        <v>0</v>
      </c>
      <c r="P24" s="14">
        <v>0</v>
      </c>
      <c r="Q24" s="77">
        <f t="shared" si="1"/>
        <v>5</v>
      </c>
      <c r="R24" s="24">
        <v>0</v>
      </c>
      <c r="S24" s="14">
        <v>0</v>
      </c>
      <c r="T24" s="14">
        <v>0</v>
      </c>
      <c r="U24" s="14">
        <v>0</v>
      </c>
      <c r="V24" s="14">
        <v>0</v>
      </c>
      <c r="W24" s="77">
        <f t="shared" si="2"/>
        <v>5</v>
      </c>
      <c r="X24" s="37"/>
      <c r="Y24" s="38"/>
      <c r="AA24" s="75">
        <v>0</v>
      </c>
      <c r="AB24" s="76">
        <v>0</v>
      </c>
      <c r="AC24" s="76">
        <v>0</v>
      </c>
      <c r="AD24" s="76">
        <v>0</v>
      </c>
      <c r="AE24" s="76">
        <v>0</v>
      </c>
      <c r="AF24" s="77">
        <f t="shared" si="3"/>
        <v>5</v>
      </c>
      <c r="AG24" s="432"/>
      <c r="AH24" s="24">
        <v>0</v>
      </c>
      <c r="AI24" s="14">
        <v>0</v>
      </c>
      <c r="AJ24" s="14">
        <v>0</v>
      </c>
      <c r="AK24" s="14">
        <v>0</v>
      </c>
      <c r="AL24" s="14">
        <v>0</v>
      </c>
      <c r="AM24" s="77">
        <f t="shared" si="4"/>
        <v>5</v>
      </c>
      <c r="AN24" s="24">
        <v>0</v>
      </c>
      <c r="AO24" s="14">
        <v>0</v>
      </c>
      <c r="AP24" s="14">
        <v>0</v>
      </c>
      <c r="AQ24" s="14">
        <v>0</v>
      </c>
      <c r="AR24" s="14">
        <v>0</v>
      </c>
      <c r="AS24" s="77">
        <f t="shared" si="5"/>
        <v>5</v>
      </c>
      <c r="AT24" s="37"/>
      <c r="AU24" s="38"/>
    </row>
    <row r="25" spans="1:47" ht="18" customHeight="1">
      <c r="A25" s="65">
        <v>334</v>
      </c>
      <c r="B25" s="68" t="s">
        <v>35</v>
      </c>
      <c r="C25" s="33" t="s">
        <v>36</v>
      </c>
      <c r="D25" s="41"/>
      <c r="E25" s="75">
        <v>0</v>
      </c>
      <c r="F25" s="76">
        <v>0</v>
      </c>
      <c r="G25" s="76">
        <v>0</v>
      </c>
      <c r="H25" s="76">
        <v>0</v>
      </c>
      <c r="I25" s="76">
        <v>0</v>
      </c>
      <c r="J25" s="77">
        <f t="shared" si="0"/>
        <v>5</v>
      </c>
      <c r="K25" s="432"/>
      <c r="L25" s="24">
        <v>0</v>
      </c>
      <c r="M25" s="14">
        <v>0</v>
      </c>
      <c r="N25" s="14">
        <v>0</v>
      </c>
      <c r="O25" s="14">
        <v>0</v>
      </c>
      <c r="P25" s="14">
        <v>0</v>
      </c>
      <c r="Q25" s="77">
        <f t="shared" si="1"/>
        <v>5</v>
      </c>
      <c r="R25" s="24">
        <v>0</v>
      </c>
      <c r="S25" s="14">
        <v>0</v>
      </c>
      <c r="T25" s="14">
        <v>0</v>
      </c>
      <c r="U25" s="14">
        <v>0</v>
      </c>
      <c r="V25" s="14">
        <v>0</v>
      </c>
      <c r="W25" s="77">
        <f t="shared" si="2"/>
        <v>5</v>
      </c>
      <c r="X25" s="37"/>
      <c r="Y25" s="38"/>
      <c r="AA25" s="75">
        <v>0</v>
      </c>
      <c r="AB25" s="76">
        <v>0</v>
      </c>
      <c r="AC25" s="76">
        <v>0</v>
      </c>
      <c r="AD25" s="76">
        <v>0</v>
      </c>
      <c r="AE25" s="76">
        <v>0</v>
      </c>
      <c r="AF25" s="77">
        <f t="shared" si="3"/>
        <v>5</v>
      </c>
      <c r="AG25" s="432"/>
      <c r="AH25" s="24">
        <v>0</v>
      </c>
      <c r="AI25" s="14">
        <v>0</v>
      </c>
      <c r="AJ25" s="14">
        <v>0</v>
      </c>
      <c r="AK25" s="14">
        <v>0</v>
      </c>
      <c r="AL25" s="14">
        <v>0</v>
      </c>
      <c r="AM25" s="77">
        <f t="shared" si="4"/>
        <v>5</v>
      </c>
      <c r="AN25" s="24">
        <v>0</v>
      </c>
      <c r="AO25" s="14">
        <v>0</v>
      </c>
      <c r="AP25" s="14">
        <v>0</v>
      </c>
      <c r="AQ25" s="14">
        <v>0</v>
      </c>
      <c r="AR25" s="14">
        <v>0</v>
      </c>
      <c r="AS25" s="77">
        <f t="shared" si="5"/>
        <v>5</v>
      </c>
      <c r="AT25" s="37"/>
      <c r="AU25" s="38"/>
    </row>
    <row r="26" spans="1:47" ht="18" customHeight="1">
      <c r="A26" s="65">
        <v>335</v>
      </c>
      <c r="B26" s="68" t="s">
        <v>37</v>
      </c>
      <c r="C26" s="33" t="s">
        <v>38</v>
      </c>
      <c r="D26" s="41"/>
      <c r="E26" s="75">
        <v>0</v>
      </c>
      <c r="F26" s="76">
        <v>0</v>
      </c>
      <c r="G26" s="76">
        <v>0</v>
      </c>
      <c r="H26" s="76">
        <v>0</v>
      </c>
      <c r="I26" s="76">
        <v>0</v>
      </c>
      <c r="J26" s="77">
        <f t="shared" si="0"/>
        <v>5</v>
      </c>
      <c r="K26" s="432"/>
      <c r="L26" s="24">
        <v>0</v>
      </c>
      <c r="M26" s="14">
        <v>0</v>
      </c>
      <c r="N26" s="14">
        <v>0</v>
      </c>
      <c r="O26" s="14">
        <v>0</v>
      </c>
      <c r="P26" s="14">
        <v>0</v>
      </c>
      <c r="Q26" s="77">
        <f t="shared" si="1"/>
        <v>5</v>
      </c>
      <c r="R26" s="24">
        <v>0</v>
      </c>
      <c r="S26" s="14">
        <v>0</v>
      </c>
      <c r="T26" s="14">
        <v>0</v>
      </c>
      <c r="U26" s="14">
        <v>0</v>
      </c>
      <c r="V26" s="14">
        <v>0</v>
      </c>
      <c r="W26" s="77">
        <f t="shared" si="2"/>
        <v>5</v>
      </c>
      <c r="X26" s="37"/>
      <c r="Y26" s="38"/>
      <c r="AA26" s="75">
        <v>0</v>
      </c>
      <c r="AB26" s="76">
        <v>0</v>
      </c>
      <c r="AC26" s="76">
        <v>0</v>
      </c>
      <c r="AD26" s="76">
        <v>0</v>
      </c>
      <c r="AE26" s="76">
        <v>0</v>
      </c>
      <c r="AF26" s="77">
        <f t="shared" si="3"/>
        <v>5</v>
      </c>
      <c r="AG26" s="432"/>
      <c r="AH26" s="24">
        <v>0</v>
      </c>
      <c r="AI26" s="14">
        <v>0</v>
      </c>
      <c r="AJ26" s="14">
        <v>0</v>
      </c>
      <c r="AK26" s="14">
        <v>0</v>
      </c>
      <c r="AL26" s="14">
        <v>0</v>
      </c>
      <c r="AM26" s="77">
        <f t="shared" si="4"/>
        <v>5</v>
      </c>
      <c r="AN26" s="24">
        <v>0</v>
      </c>
      <c r="AO26" s="14">
        <v>0</v>
      </c>
      <c r="AP26" s="14">
        <v>0</v>
      </c>
      <c r="AQ26" s="14">
        <v>0</v>
      </c>
      <c r="AR26" s="14">
        <v>0</v>
      </c>
      <c r="AS26" s="77">
        <f t="shared" si="5"/>
        <v>5</v>
      </c>
      <c r="AT26" s="37"/>
      <c r="AU26" s="38"/>
    </row>
    <row r="27" spans="1:47" ht="18" customHeight="1">
      <c r="A27" s="65">
        <v>336</v>
      </c>
      <c r="B27" s="68" t="s">
        <v>39</v>
      </c>
      <c r="C27" s="33" t="s">
        <v>40</v>
      </c>
      <c r="D27" s="41"/>
      <c r="E27" s="75">
        <v>19209577392</v>
      </c>
      <c r="F27" s="76">
        <v>6319691974</v>
      </c>
      <c r="G27" s="76">
        <v>12889885418</v>
      </c>
      <c r="H27" s="76">
        <v>24206</v>
      </c>
      <c r="I27" s="76">
        <v>44376</v>
      </c>
      <c r="J27" s="77">
        <f t="shared" si="0"/>
        <v>4</v>
      </c>
      <c r="K27" s="432"/>
      <c r="L27" s="24">
        <v>19926816195</v>
      </c>
      <c r="M27" s="14">
        <v>6639158532</v>
      </c>
      <c r="N27" s="14">
        <v>13287657663</v>
      </c>
      <c r="O27" s="14">
        <v>23766.83</v>
      </c>
      <c r="P27" s="14">
        <v>46590</v>
      </c>
      <c r="Q27" s="77">
        <f t="shared" si="1"/>
        <v>4</v>
      </c>
      <c r="R27" s="24">
        <v>19866971022.91</v>
      </c>
      <c r="S27" s="14">
        <v>6689211659.9099998</v>
      </c>
      <c r="T27" s="14">
        <v>13177759363</v>
      </c>
      <c r="U27" s="14">
        <v>22416.46</v>
      </c>
      <c r="V27" s="14">
        <v>48988</v>
      </c>
      <c r="W27" s="77">
        <f t="shared" si="2"/>
        <v>4</v>
      </c>
      <c r="X27" s="37"/>
      <c r="Y27" s="38"/>
      <c r="AA27" s="75">
        <v>21211036093</v>
      </c>
      <c r="AB27" s="76">
        <v>6781226930</v>
      </c>
      <c r="AC27" s="76">
        <v>14429809163</v>
      </c>
      <c r="AD27" s="76">
        <v>23754</v>
      </c>
      <c r="AE27" s="76">
        <v>50622</v>
      </c>
      <c r="AF27" s="77">
        <f t="shared" si="3"/>
        <v>3</v>
      </c>
      <c r="AG27" s="432"/>
      <c r="AH27" s="24">
        <v>21463997252</v>
      </c>
      <c r="AI27" s="14">
        <v>7165345357</v>
      </c>
      <c r="AJ27" s="14">
        <v>14298651895</v>
      </c>
      <c r="AK27" s="14">
        <v>23482.83</v>
      </c>
      <c r="AL27" s="14">
        <v>50742</v>
      </c>
      <c r="AM27" s="77">
        <f t="shared" si="4"/>
        <v>2</v>
      </c>
      <c r="AN27" s="24">
        <v>21406012778.389999</v>
      </c>
      <c r="AO27" s="14">
        <v>7179189086.3900013</v>
      </c>
      <c r="AP27" s="14">
        <v>14226823692</v>
      </c>
      <c r="AQ27" s="14">
        <v>22042.46</v>
      </c>
      <c r="AR27" s="14">
        <v>53786</v>
      </c>
      <c r="AS27" s="77">
        <f t="shared" si="5"/>
        <v>4</v>
      </c>
      <c r="AT27" s="37"/>
      <c r="AU27" s="38"/>
    </row>
    <row r="28" spans="1:47" ht="18" customHeight="1">
      <c r="A28" s="65">
        <v>343</v>
      </c>
      <c r="B28" s="68" t="s">
        <v>83</v>
      </c>
      <c r="C28" s="33" t="s">
        <v>92</v>
      </c>
      <c r="D28" s="41"/>
      <c r="E28" s="75">
        <v>0</v>
      </c>
      <c r="F28" s="76">
        <v>0</v>
      </c>
      <c r="G28" s="76">
        <v>0</v>
      </c>
      <c r="H28" s="76">
        <v>0</v>
      </c>
      <c r="I28" s="76">
        <v>0</v>
      </c>
      <c r="J28" s="77">
        <f t="shared" si="0"/>
        <v>5</v>
      </c>
      <c r="K28" s="432"/>
      <c r="L28" s="24">
        <v>0</v>
      </c>
      <c r="M28" s="14">
        <v>0</v>
      </c>
      <c r="N28" s="14">
        <v>0</v>
      </c>
      <c r="O28" s="14">
        <v>0</v>
      </c>
      <c r="P28" s="14">
        <v>0</v>
      </c>
      <c r="Q28" s="77">
        <f t="shared" si="1"/>
        <v>5</v>
      </c>
      <c r="R28" s="24">
        <v>0</v>
      </c>
      <c r="S28" s="14">
        <v>0</v>
      </c>
      <c r="T28" s="14">
        <v>0</v>
      </c>
      <c r="U28" s="14">
        <v>0</v>
      </c>
      <c r="V28" s="14">
        <v>0</v>
      </c>
      <c r="W28" s="77">
        <f t="shared" si="2"/>
        <v>5</v>
      </c>
      <c r="X28" s="37"/>
      <c r="Y28" s="38"/>
      <c r="AA28" s="75">
        <v>0</v>
      </c>
      <c r="AB28" s="76">
        <v>0</v>
      </c>
      <c r="AC28" s="76">
        <v>0</v>
      </c>
      <c r="AD28" s="76">
        <v>0</v>
      </c>
      <c r="AE28" s="76">
        <v>0</v>
      </c>
      <c r="AF28" s="77">
        <f t="shared" si="3"/>
        <v>5</v>
      </c>
      <c r="AG28" s="432"/>
      <c r="AH28" s="24">
        <v>0</v>
      </c>
      <c r="AI28" s="14">
        <v>0</v>
      </c>
      <c r="AJ28" s="14">
        <v>0</v>
      </c>
      <c r="AK28" s="14">
        <v>0</v>
      </c>
      <c r="AL28" s="14">
        <v>0</v>
      </c>
      <c r="AM28" s="77">
        <f t="shared" si="4"/>
        <v>5</v>
      </c>
      <c r="AN28" s="24">
        <v>0</v>
      </c>
      <c r="AO28" s="14">
        <v>0</v>
      </c>
      <c r="AP28" s="14">
        <v>0</v>
      </c>
      <c r="AQ28" s="14">
        <v>0</v>
      </c>
      <c r="AR28" s="14">
        <v>0</v>
      </c>
      <c r="AS28" s="77">
        <f t="shared" si="5"/>
        <v>5</v>
      </c>
      <c r="AT28" s="37"/>
      <c r="AU28" s="38"/>
    </row>
    <row r="29" spans="1:47" ht="18" customHeight="1">
      <c r="A29" s="65">
        <v>344</v>
      </c>
      <c r="B29" s="68" t="s">
        <v>41</v>
      </c>
      <c r="C29" s="33" t="s">
        <v>42</v>
      </c>
      <c r="D29" s="41"/>
      <c r="E29" s="75">
        <v>0</v>
      </c>
      <c r="F29" s="76">
        <v>0</v>
      </c>
      <c r="G29" s="76">
        <v>0</v>
      </c>
      <c r="H29" s="76">
        <v>0</v>
      </c>
      <c r="I29" s="76">
        <v>0</v>
      </c>
      <c r="J29" s="77">
        <f t="shared" si="0"/>
        <v>5</v>
      </c>
      <c r="K29" s="432"/>
      <c r="L29" s="24">
        <v>0</v>
      </c>
      <c r="M29" s="14">
        <v>0</v>
      </c>
      <c r="N29" s="14">
        <v>0</v>
      </c>
      <c r="O29" s="14">
        <v>0</v>
      </c>
      <c r="P29" s="14">
        <v>0</v>
      </c>
      <c r="Q29" s="77">
        <f t="shared" si="1"/>
        <v>5</v>
      </c>
      <c r="R29" s="24">
        <v>0</v>
      </c>
      <c r="S29" s="14">
        <v>0</v>
      </c>
      <c r="T29" s="14">
        <v>0</v>
      </c>
      <c r="U29" s="14">
        <v>0</v>
      </c>
      <c r="V29" s="14">
        <v>0</v>
      </c>
      <c r="W29" s="77">
        <f t="shared" si="2"/>
        <v>5</v>
      </c>
      <c r="X29" s="37"/>
      <c r="Y29" s="38"/>
      <c r="AA29" s="75">
        <v>0</v>
      </c>
      <c r="AB29" s="76">
        <v>0</v>
      </c>
      <c r="AC29" s="76">
        <v>0</v>
      </c>
      <c r="AD29" s="76">
        <v>0</v>
      </c>
      <c r="AE29" s="76">
        <v>0</v>
      </c>
      <c r="AF29" s="77">
        <f t="shared" si="3"/>
        <v>5</v>
      </c>
      <c r="AG29" s="432"/>
      <c r="AH29" s="24">
        <v>0</v>
      </c>
      <c r="AI29" s="14">
        <v>0</v>
      </c>
      <c r="AJ29" s="14">
        <v>0</v>
      </c>
      <c r="AK29" s="14">
        <v>0</v>
      </c>
      <c r="AL29" s="14">
        <v>0</v>
      </c>
      <c r="AM29" s="77">
        <f t="shared" si="4"/>
        <v>5</v>
      </c>
      <c r="AN29" s="24">
        <v>0</v>
      </c>
      <c r="AO29" s="14">
        <v>0</v>
      </c>
      <c r="AP29" s="14">
        <v>0</v>
      </c>
      <c r="AQ29" s="14">
        <v>0</v>
      </c>
      <c r="AR29" s="14">
        <v>0</v>
      </c>
      <c r="AS29" s="77">
        <f t="shared" si="5"/>
        <v>5</v>
      </c>
      <c r="AT29" s="37"/>
      <c r="AU29" s="38"/>
    </row>
    <row r="30" spans="1:47" ht="18" customHeight="1">
      <c r="A30" s="65">
        <v>345</v>
      </c>
      <c r="B30" s="68" t="s">
        <v>43</v>
      </c>
      <c r="C30" s="33" t="s">
        <v>44</v>
      </c>
      <c r="D30" s="41"/>
      <c r="E30" s="75">
        <v>0</v>
      </c>
      <c r="F30" s="76">
        <v>0</v>
      </c>
      <c r="G30" s="76">
        <v>0</v>
      </c>
      <c r="H30" s="76">
        <v>0</v>
      </c>
      <c r="I30" s="76">
        <v>0</v>
      </c>
      <c r="J30" s="77">
        <f t="shared" si="0"/>
        <v>5</v>
      </c>
      <c r="K30" s="432"/>
      <c r="L30" s="24">
        <v>0</v>
      </c>
      <c r="M30" s="14">
        <v>0</v>
      </c>
      <c r="N30" s="14">
        <v>0</v>
      </c>
      <c r="O30" s="14">
        <v>0</v>
      </c>
      <c r="P30" s="14">
        <v>0</v>
      </c>
      <c r="Q30" s="77">
        <f t="shared" si="1"/>
        <v>5</v>
      </c>
      <c r="R30" s="24">
        <v>0</v>
      </c>
      <c r="S30" s="14">
        <v>0</v>
      </c>
      <c r="T30" s="14">
        <v>0</v>
      </c>
      <c r="U30" s="14">
        <v>0</v>
      </c>
      <c r="V30" s="14">
        <v>0</v>
      </c>
      <c r="W30" s="77">
        <f t="shared" si="2"/>
        <v>5</v>
      </c>
      <c r="X30" s="37"/>
      <c r="Y30" s="38"/>
      <c r="AA30" s="75">
        <v>0</v>
      </c>
      <c r="AB30" s="76">
        <v>0</v>
      </c>
      <c r="AC30" s="76">
        <v>0</v>
      </c>
      <c r="AD30" s="76">
        <v>0</v>
      </c>
      <c r="AE30" s="76">
        <v>0</v>
      </c>
      <c r="AF30" s="77">
        <f t="shared" si="3"/>
        <v>5</v>
      </c>
      <c r="AG30" s="432"/>
      <c r="AH30" s="24">
        <v>0</v>
      </c>
      <c r="AI30" s="14">
        <v>0</v>
      </c>
      <c r="AJ30" s="14">
        <v>0</v>
      </c>
      <c r="AK30" s="14">
        <v>0</v>
      </c>
      <c r="AL30" s="14">
        <v>0</v>
      </c>
      <c r="AM30" s="77">
        <f t="shared" si="4"/>
        <v>5</v>
      </c>
      <c r="AN30" s="24">
        <v>0</v>
      </c>
      <c r="AO30" s="14">
        <v>0</v>
      </c>
      <c r="AP30" s="14">
        <v>0</v>
      </c>
      <c r="AQ30" s="14">
        <v>0</v>
      </c>
      <c r="AR30" s="14">
        <v>0</v>
      </c>
      <c r="AS30" s="77">
        <f t="shared" si="5"/>
        <v>5</v>
      </c>
      <c r="AT30" s="37"/>
      <c r="AU30" s="38"/>
    </row>
    <row r="31" spans="1:47" ht="18" customHeight="1">
      <c r="A31" s="65">
        <v>346</v>
      </c>
      <c r="B31" s="68" t="s">
        <v>45</v>
      </c>
      <c r="C31" s="33" t="s">
        <v>46</v>
      </c>
      <c r="D31" s="41"/>
      <c r="E31" s="75">
        <v>0</v>
      </c>
      <c r="F31" s="76">
        <v>0</v>
      </c>
      <c r="G31" s="76">
        <v>0</v>
      </c>
      <c r="H31" s="76">
        <v>0</v>
      </c>
      <c r="I31" s="76">
        <v>0</v>
      </c>
      <c r="J31" s="77">
        <f t="shared" si="0"/>
        <v>5</v>
      </c>
      <c r="K31" s="432"/>
      <c r="L31" s="24">
        <v>0</v>
      </c>
      <c r="M31" s="14">
        <v>0</v>
      </c>
      <c r="N31" s="14">
        <v>0</v>
      </c>
      <c r="O31" s="14">
        <v>0</v>
      </c>
      <c r="P31" s="14">
        <v>0</v>
      </c>
      <c r="Q31" s="77">
        <f t="shared" si="1"/>
        <v>5</v>
      </c>
      <c r="R31" s="24">
        <v>0</v>
      </c>
      <c r="S31" s="14">
        <v>0</v>
      </c>
      <c r="T31" s="14">
        <v>0</v>
      </c>
      <c r="U31" s="14">
        <v>0</v>
      </c>
      <c r="V31" s="14">
        <v>0</v>
      </c>
      <c r="W31" s="77">
        <f t="shared" si="2"/>
        <v>5</v>
      </c>
      <c r="X31" s="37"/>
      <c r="Y31" s="38"/>
      <c r="AA31" s="75">
        <v>0</v>
      </c>
      <c r="AB31" s="76">
        <v>0</v>
      </c>
      <c r="AC31" s="76">
        <v>0</v>
      </c>
      <c r="AD31" s="76">
        <v>0</v>
      </c>
      <c r="AE31" s="76">
        <v>0</v>
      </c>
      <c r="AF31" s="77">
        <f t="shared" si="3"/>
        <v>5</v>
      </c>
      <c r="AG31" s="432"/>
      <c r="AH31" s="24">
        <v>0</v>
      </c>
      <c r="AI31" s="14">
        <v>0</v>
      </c>
      <c r="AJ31" s="14">
        <v>0</v>
      </c>
      <c r="AK31" s="14">
        <v>0</v>
      </c>
      <c r="AL31" s="14">
        <v>0</v>
      </c>
      <c r="AM31" s="77">
        <f t="shared" si="4"/>
        <v>5</v>
      </c>
      <c r="AN31" s="24">
        <v>0</v>
      </c>
      <c r="AO31" s="14">
        <v>0</v>
      </c>
      <c r="AP31" s="14">
        <v>0</v>
      </c>
      <c r="AQ31" s="14">
        <v>0</v>
      </c>
      <c r="AR31" s="14">
        <v>0</v>
      </c>
      <c r="AS31" s="77">
        <f t="shared" si="5"/>
        <v>5</v>
      </c>
      <c r="AT31" s="37"/>
      <c r="AU31" s="38"/>
    </row>
    <row r="32" spans="1:47" ht="18" customHeight="1">
      <c r="A32" s="65">
        <v>348</v>
      </c>
      <c r="B32" s="68" t="s">
        <v>47</v>
      </c>
      <c r="C32" s="33" t="s">
        <v>93</v>
      </c>
      <c r="D32" s="41"/>
      <c r="E32" s="75">
        <v>0</v>
      </c>
      <c r="F32" s="76">
        <v>0</v>
      </c>
      <c r="G32" s="76">
        <v>0</v>
      </c>
      <c r="H32" s="76">
        <v>0</v>
      </c>
      <c r="I32" s="76">
        <v>0</v>
      </c>
      <c r="J32" s="77">
        <f t="shared" si="0"/>
        <v>5</v>
      </c>
      <c r="K32" s="432"/>
      <c r="L32" s="24">
        <v>0</v>
      </c>
      <c r="M32" s="14">
        <v>0</v>
      </c>
      <c r="N32" s="14">
        <v>0</v>
      </c>
      <c r="O32" s="14">
        <v>0</v>
      </c>
      <c r="P32" s="14">
        <v>0</v>
      </c>
      <c r="Q32" s="77">
        <f t="shared" si="1"/>
        <v>5</v>
      </c>
      <c r="R32" s="24">
        <v>0</v>
      </c>
      <c r="S32" s="14">
        <v>0</v>
      </c>
      <c r="T32" s="14">
        <v>0</v>
      </c>
      <c r="U32" s="14">
        <v>0</v>
      </c>
      <c r="V32" s="14">
        <v>0</v>
      </c>
      <c r="W32" s="77">
        <f t="shared" si="2"/>
        <v>5</v>
      </c>
      <c r="X32" s="37"/>
      <c r="Y32" s="38"/>
      <c r="AA32" s="75">
        <v>0</v>
      </c>
      <c r="AB32" s="76">
        <v>0</v>
      </c>
      <c r="AC32" s="76">
        <v>0</v>
      </c>
      <c r="AD32" s="76">
        <v>0</v>
      </c>
      <c r="AE32" s="76">
        <v>0</v>
      </c>
      <c r="AF32" s="77">
        <f t="shared" si="3"/>
        <v>5</v>
      </c>
      <c r="AG32" s="432"/>
      <c r="AH32" s="24">
        <v>0</v>
      </c>
      <c r="AI32" s="14">
        <v>0</v>
      </c>
      <c r="AJ32" s="14">
        <v>0</v>
      </c>
      <c r="AK32" s="14">
        <v>0</v>
      </c>
      <c r="AL32" s="14">
        <v>0</v>
      </c>
      <c r="AM32" s="77">
        <f t="shared" si="4"/>
        <v>5</v>
      </c>
      <c r="AN32" s="24">
        <v>0</v>
      </c>
      <c r="AO32" s="14">
        <v>0</v>
      </c>
      <c r="AP32" s="14">
        <v>0</v>
      </c>
      <c r="AQ32" s="14">
        <v>0</v>
      </c>
      <c r="AR32" s="14">
        <v>0</v>
      </c>
      <c r="AS32" s="77">
        <f t="shared" si="5"/>
        <v>5</v>
      </c>
      <c r="AT32" s="37"/>
      <c r="AU32" s="38"/>
    </row>
    <row r="33" spans="1:47" ht="18" customHeight="1">
      <c r="A33" s="65">
        <v>349</v>
      </c>
      <c r="B33" s="68" t="s">
        <v>88</v>
      </c>
      <c r="C33" s="33" t="s">
        <v>89</v>
      </c>
      <c r="D33" s="41"/>
      <c r="E33" s="75">
        <v>0</v>
      </c>
      <c r="F33" s="76">
        <v>0</v>
      </c>
      <c r="G33" s="76">
        <v>0</v>
      </c>
      <c r="H33" s="76">
        <v>0</v>
      </c>
      <c r="I33" s="76">
        <v>0</v>
      </c>
      <c r="J33" s="77">
        <f t="shared" si="0"/>
        <v>5</v>
      </c>
      <c r="K33" s="432"/>
      <c r="L33" s="24">
        <v>0</v>
      </c>
      <c r="M33" s="14">
        <v>0</v>
      </c>
      <c r="N33" s="14">
        <v>0</v>
      </c>
      <c r="O33" s="14">
        <v>0</v>
      </c>
      <c r="P33" s="14">
        <v>0</v>
      </c>
      <c r="Q33" s="77">
        <f t="shared" si="1"/>
        <v>5</v>
      </c>
      <c r="R33" s="24">
        <v>0</v>
      </c>
      <c r="S33" s="14">
        <v>0</v>
      </c>
      <c r="T33" s="14">
        <v>0</v>
      </c>
      <c r="U33" s="14">
        <v>0</v>
      </c>
      <c r="V33" s="14">
        <v>0</v>
      </c>
      <c r="W33" s="77">
        <f t="shared" si="2"/>
        <v>5</v>
      </c>
      <c r="X33" s="37"/>
      <c r="Y33" s="38"/>
      <c r="AA33" s="75">
        <v>0</v>
      </c>
      <c r="AB33" s="76">
        <v>0</v>
      </c>
      <c r="AC33" s="76">
        <v>0</v>
      </c>
      <c r="AD33" s="76">
        <v>0</v>
      </c>
      <c r="AE33" s="76">
        <v>0</v>
      </c>
      <c r="AF33" s="77">
        <f t="shared" si="3"/>
        <v>5</v>
      </c>
      <c r="AG33" s="432"/>
      <c r="AH33" s="24">
        <v>0</v>
      </c>
      <c r="AI33" s="14">
        <v>0</v>
      </c>
      <c r="AJ33" s="14">
        <v>0</v>
      </c>
      <c r="AK33" s="14">
        <v>0</v>
      </c>
      <c r="AL33" s="14">
        <v>0</v>
      </c>
      <c r="AM33" s="77">
        <f t="shared" si="4"/>
        <v>5</v>
      </c>
      <c r="AN33" s="24">
        <v>0</v>
      </c>
      <c r="AO33" s="14">
        <v>0</v>
      </c>
      <c r="AP33" s="14">
        <v>0</v>
      </c>
      <c r="AQ33" s="14">
        <v>0</v>
      </c>
      <c r="AR33" s="14">
        <v>0</v>
      </c>
      <c r="AS33" s="77">
        <f t="shared" si="5"/>
        <v>5</v>
      </c>
      <c r="AT33" s="37"/>
      <c r="AU33" s="38"/>
    </row>
    <row r="34" spans="1:47" ht="18" customHeight="1">
      <c r="A34" s="65">
        <v>353</v>
      </c>
      <c r="B34" s="68" t="s">
        <v>48</v>
      </c>
      <c r="C34" s="33" t="s">
        <v>49</v>
      </c>
      <c r="D34" s="41"/>
      <c r="E34" s="75">
        <v>0</v>
      </c>
      <c r="F34" s="76">
        <v>0</v>
      </c>
      <c r="G34" s="76">
        <v>0</v>
      </c>
      <c r="H34" s="76">
        <v>0</v>
      </c>
      <c r="I34" s="76">
        <v>0</v>
      </c>
      <c r="J34" s="77">
        <f t="shared" si="0"/>
        <v>5</v>
      </c>
      <c r="K34" s="432"/>
      <c r="L34" s="24">
        <v>0</v>
      </c>
      <c r="M34" s="14">
        <v>0</v>
      </c>
      <c r="N34" s="14">
        <v>0</v>
      </c>
      <c r="O34" s="14">
        <v>0</v>
      </c>
      <c r="P34" s="14">
        <v>0</v>
      </c>
      <c r="Q34" s="77">
        <f t="shared" si="1"/>
        <v>5</v>
      </c>
      <c r="R34" s="24">
        <v>0</v>
      </c>
      <c r="S34" s="14">
        <v>0</v>
      </c>
      <c r="T34" s="14">
        <v>0</v>
      </c>
      <c r="U34" s="14">
        <v>0</v>
      </c>
      <c r="V34" s="14">
        <v>0</v>
      </c>
      <c r="W34" s="77">
        <f t="shared" si="2"/>
        <v>5</v>
      </c>
      <c r="X34" s="37"/>
      <c r="Y34" s="38"/>
      <c r="AA34" s="75">
        <v>0</v>
      </c>
      <c r="AB34" s="76">
        <v>0</v>
      </c>
      <c r="AC34" s="76">
        <v>0</v>
      </c>
      <c r="AD34" s="76">
        <v>0</v>
      </c>
      <c r="AE34" s="76">
        <v>0</v>
      </c>
      <c r="AF34" s="77">
        <f t="shared" si="3"/>
        <v>5</v>
      </c>
      <c r="AG34" s="432"/>
      <c r="AH34" s="24">
        <v>0</v>
      </c>
      <c r="AI34" s="14">
        <v>0</v>
      </c>
      <c r="AJ34" s="14">
        <v>0</v>
      </c>
      <c r="AK34" s="14">
        <v>0</v>
      </c>
      <c r="AL34" s="14">
        <v>0</v>
      </c>
      <c r="AM34" s="77">
        <f t="shared" si="4"/>
        <v>5</v>
      </c>
      <c r="AN34" s="24">
        <v>0</v>
      </c>
      <c r="AO34" s="14">
        <v>0</v>
      </c>
      <c r="AP34" s="14">
        <v>0</v>
      </c>
      <c r="AQ34" s="14">
        <v>0</v>
      </c>
      <c r="AR34" s="14">
        <v>0</v>
      </c>
      <c r="AS34" s="77">
        <f t="shared" si="5"/>
        <v>5</v>
      </c>
      <c r="AT34" s="37"/>
      <c r="AU34" s="38"/>
    </row>
    <row r="35" spans="1:47" ht="18" customHeight="1">
      <c r="A35" s="65">
        <v>355</v>
      </c>
      <c r="B35" s="68" t="s">
        <v>100</v>
      </c>
      <c r="C35" s="33" t="s">
        <v>202</v>
      </c>
      <c r="D35" s="41"/>
      <c r="E35" s="75">
        <v>0</v>
      </c>
      <c r="F35" s="76">
        <v>0</v>
      </c>
      <c r="G35" s="76">
        <v>0</v>
      </c>
      <c r="H35" s="76">
        <v>0</v>
      </c>
      <c r="I35" s="76">
        <v>0</v>
      </c>
      <c r="J35" s="77">
        <f t="shared" si="0"/>
        <v>5</v>
      </c>
      <c r="K35" s="432"/>
      <c r="L35" s="24">
        <v>0</v>
      </c>
      <c r="M35" s="14">
        <v>0</v>
      </c>
      <c r="N35" s="14">
        <v>0</v>
      </c>
      <c r="O35" s="14">
        <v>0</v>
      </c>
      <c r="P35" s="14">
        <v>0</v>
      </c>
      <c r="Q35" s="77">
        <f t="shared" si="1"/>
        <v>5</v>
      </c>
      <c r="R35" s="24">
        <v>0</v>
      </c>
      <c r="S35" s="14">
        <v>0</v>
      </c>
      <c r="T35" s="14">
        <v>0</v>
      </c>
      <c r="U35" s="14">
        <v>0</v>
      </c>
      <c r="V35" s="14">
        <v>0</v>
      </c>
      <c r="W35" s="77">
        <f t="shared" si="2"/>
        <v>5</v>
      </c>
      <c r="X35" s="37"/>
      <c r="Y35" s="38"/>
      <c r="AA35" s="75">
        <v>0</v>
      </c>
      <c r="AB35" s="76">
        <v>0</v>
      </c>
      <c r="AC35" s="76">
        <v>0</v>
      </c>
      <c r="AD35" s="76">
        <v>0</v>
      </c>
      <c r="AE35" s="76">
        <v>0</v>
      </c>
      <c r="AF35" s="77">
        <f t="shared" si="3"/>
        <v>5</v>
      </c>
      <c r="AG35" s="432"/>
      <c r="AH35" s="24">
        <v>0</v>
      </c>
      <c r="AI35" s="14">
        <v>0</v>
      </c>
      <c r="AJ35" s="14">
        <v>0</v>
      </c>
      <c r="AK35" s="14">
        <v>0</v>
      </c>
      <c r="AL35" s="14">
        <v>0</v>
      </c>
      <c r="AM35" s="77">
        <f t="shared" si="4"/>
        <v>5</v>
      </c>
      <c r="AN35" s="24">
        <v>0</v>
      </c>
      <c r="AO35" s="14">
        <v>0</v>
      </c>
      <c r="AP35" s="14">
        <v>0</v>
      </c>
      <c r="AQ35" s="14">
        <v>0</v>
      </c>
      <c r="AR35" s="14">
        <v>0</v>
      </c>
      <c r="AS35" s="77">
        <f t="shared" si="5"/>
        <v>5</v>
      </c>
      <c r="AT35" s="37"/>
      <c r="AU35" s="38"/>
    </row>
    <row r="36" spans="1:47" ht="18" customHeight="1">
      <c r="A36" s="65">
        <v>358</v>
      </c>
      <c r="B36" s="68" t="s">
        <v>50</v>
      </c>
      <c r="C36" s="33" t="s">
        <v>51</v>
      </c>
      <c r="D36" s="41"/>
      <c r="E36" s="75">
        <v>0</v>
      </c>
      <c r="F36" s="76">
        <v>0</v>
      </c>
      <c r="G36" s="76">
        <v>0</v>
      </c>
      <c r="H36" s="76">
        <v>0</v>
      </c>
      <c r="I36" s="76">
        <v>0</v>
      </c>
      <c r="J36" s="77">
        <f t="shared" si="0"/>
        <v>5</v>
      </c>
      <c r="K36" s="432"/>
      <c r="L36" s="24">
        <v>0</v>
      </c>
      <c r="M36" s="14">
        <v>0</v>
      </c>
      <c r="N36" s="14">
        <v>0</v>
      </c>
      <c r="O36" s="14">
        <v>0</v>
      </c>
      <c r="P36" s="14">
        <v>0</v>
      </c>
      <c r="Q36" s="77">
        <f t="shared" si="1"/>
        <v>5</v>
      </c>
      <c r="R36" s="24">
        <v>0</v>
      </c>
      <c r="S36" s="14">
        <v>0</v>
      </c>
      <c r="T36" s="14">
        <v>0</v>
      </c>
      <c r="U36" s="14">
        <v>0</v>
      </c>
      <c r="V36" s="14">
        <v>0</v>
      </c>
      <c r="W36" s="77">
        <f t="shared" si="2"/>
        <v>5</v>
      </c>
      <c r="X36" s="37"/>
      <c r="Y36" s="38"/>
      <c r="AA36" s="75">
        <v>0</v>
      </c>
      <c r="AB36" s="76">
        <v>0</v>
      </c>
      <c r="AC36" s="76">
        <v>0</v>
      </c>
      <c r="AD36" s="76">
        <v>0</v>
      </c>
      <c r="AE36" s="76">
        <v>0</v>
      </c>
      <c r="AF36" s="77">
        <f t="shared" si="3"/>
        <v>5</v>
      </c>
      <c r="AG36" s="432"/>
      <c r="AH36" s="24">
        <v>0</v>
      </c>
      <c r="AI36" s="14">
        <v>0</v>
      </c>
      <c r="AJ36" s="14">
        <v>0</v>
      </c>
      <c r="AK36" s="14">
        <v>0</v>
      </c>
      <c r="AL36" s="14">
        <v>0</v>
      </c>
      <c r="AM36" s="77">
        <f t="shared" si="4"/>
        <v>5</v>
      </c>
      <c r="AN36" s="24">
        <v>0</v>
      </c>
      <c r="AO36" s="14">
        <v>0</v>
      </c>
      <c r="AP36" s="14">
        <v>0</v>
      </c>
      <c r="AQ36" s="14">
        <v>0</v>
      </c>
      <c r="AR36" s="14">
        <v>0</v>
      </c>
      <c r="AS36" s="77">
        <f t="shared" si="5"/>
        <v>5</v>
      </c>
      <c r="AT36" s="37"/>
      <c r="AU36" s="38"/>
    </row>
    <row r="37" spans="1:47" ht="18" customHeight="1">
      <c r="A37" s="65">
        <v>359</v>
      </c>
      <c r="B37" s="68" t="s">
        <v>190</v>
      </c>
      <c r="C37" s="33" t="s">
        <v>203</v>
      </c>
      <c r="D37" s="41"/>
      <c r="E37" s="75">
        <v>0</v>
      </c>
      <c r="F37" s="76">
        <v>0</v>
      </c>
      <c r="G37" s="76">
        <v>0</v>
      </c>
      <c r="H37" s="76">
        <v>0</v>
      </c>
      <c r="I37" s="76">
        <v>0</v>
      </c>
      <c r="J37" s="77">
        <f t="shared" si="0"/>
        <v>5</v>
      </c>
      <c r="K37" s="432"/>
      <c r="L37" s="24">
        <v>0</v>
      </c>
      <c r="M37" s="14">
        <v>0</v>
      </c>
      <c r="N37" s="14">
        <v>0</v>
      </c>
      <c r="O37" s="14">
        <v>0</v>
      </c>
      <c r="P37" s="14">
        <v>0</v>
      </c>
      <c r="Q37" s="77">
        <f t="shared" si="1"/>
        <v>5</v>
      </c>
      <c r="R37" s="24">
        <v>0</v>
      </c>
      <c r="S37" s="14">
        <v>0</v>
      </c>
      <c r="T37" s="14">
        <v>0</v>
      </c>
      <c r="U37" s="14">
        <v>0</v>
      </c>
      <c r="V37" s="14">
        <v>0</v>
      </c>
      <c r="W37" s="77">
        <f t="shared" si="2"/>
        <v>5</v>
      </c>
      <c r="X37" s="37"/>
      <c r="Y37" s="38"/>
      <c r="AA37" s="75">
        <v>0</v>
      </c>
      <c r="AB37" s="76">
        <v>0</v>
      </c>
      <c r="AC37" s="76">
        <v>0</v>
      </c>
      <c r="AD37" s="76">
        <v>0</v>
      </c>
      <c r="AE37" s="76">
        <v>0</v>
      </c>
      <c r="AF37" s="77">
        <f t="shared" si="3"/>
        <v>5</v>
      </c>
      <c r="AG37" s="432"/>
      <c r="AH37" s="24">
        <v>0</v>
      </c>
      <c r="AI37" s="14">
        <v>0</v>
      </c>
      <c r="AJ37" s="14">
        <v>0</v>
      </c>
      <c r="AK37" s="14">
        <v>0</v>
      </c>
      <c r="AL37" s="14">
        <v>0</v>
      </c>
      <c r="AM37" s="77">
        <f t="shared" si="4"/>
        <v>5</v>
      </c>
      <c r="AN37" s="24">
        <v>0</v>
      </c>
      <c r="AO37" s="14">
        <v>0</v>
      </c>
      <c r="AP37" s="14">
        <v>0</v>
      </c>
      <c r="AQ37" s="14">
        <v>0</v>
      </c>
      <c r="AR37" s="14">
        <v>0</v>
      </c>
      <c r="AS37" s="77">
        <f t="shared" si="5"/>
        <v>5</v>
      </c>
      <c r="AT37" s="37"/>
      <c r="AU37" s="38"/>
    </row>
    <row r="38" spans="1:47" ht="18" customHeight="1">
      <c r="A38" s="65">
        <v>361</v>
      </c>
      <c r="B38" s="68" t="s">
        <v>52</v>
      </c>
      <c r="C38" s="33" t="s">
        <v>53</v>
      </c>
      <c r="D38" s="41"/>
      <c r="E38" s="75">
        <v>0</v>
      </c>
      <c r="F38" s="76">
        <v>0</v>
      </c>
      <c r="G38" s="76">
        <v>0</v>
      </c>
      <c r="H38" s="76">
        <v>0</v>
      </c>
      <c r="I38" s="76">
        <v>0</v>
      </c>
      <c r="J38" s="77">
        <f t="shared" si="0"/>
        <v>5</v>
      </c>
      <c r="K38" s="432"/>
      <c r="L38" s="24">
        <v>0</v>
      </c>
      <c r="M38" s="14">
        <v>0</v>
      </c>
      <c r="N38" s="14">
        <v>0</v>
      </c>
      <c r="O38" s="14">
        <v>0</v>
      </c>
      <c r="P38" s="14">
        <v>0</v>
      </c>
      <c r="Q38" s="77">
        <f t="shared" si="1"/>
        <v>5</v>
      </c>
      <c r="R38" s="24">
        <v>0</v>
      </c>
      <c r="S38" s="14">
        <v>0</v>
      </c>
      <c r="T38" s="14">
        <v>0</v>
      </c>
      <c r="U38" s="14">
        <v>0</v>
      </c>
      <c r="V38" s="14">
        <v>0</v>
      </c>
      <c r="W38" s="77">
        <f t="shared" si="2"/>
        <v>5</v>
      </c>
      <c r="X38" s="37"/>
      <c r="Y38" s="38"/>
      <c r="AA38" s="75">
        <v>0</v>
      </c>
      <c r="AB38" s="76">
        <v>0</v>
      </c>
      <c r="AC38" s="76">
        <v>0</v>
      </c>
      <c r="AD38" s="76">
        <v>0</v>
      </c>
      <c r="AE38" s="76">
        <v>0</v>
      </c>
      <c r="AF38" s="77">
        <f t="shared" si="3"/>
        <v>5</v>
      </c>
      <c r="AG38" s="432"/>
      <c r="AH38" s="24">
        <v>0</v>
      </c>
      <c r="AI38" s="14">
        <v>0</v>
      </c>
      <c r="AJ38" s="14">
        <v>0</v>
      </c>
      <c r="AK38" s="14">
        <v>0</v>
      </c>
      <c r="AL38" s="14">
        <v>0</v>
      </c>
      <c r="AM38" s="77">
        <f t="shared" si="4"/>
        <v>5</v>
      </c>
      <c r="AN38" s="24">
        <v>0</v>
      </c>
      <c r="AO38" s="14">
        <v>0</v>
      </c>
      <c r="AP38" s="14">
        <v>0</v>
      </c>
      <c r="AQ38" s="14">
        <v>0</v>
      </c>
      <c r="AR38" s="14">
        <v>0</v>
      </c>
      <c r="AS38" s="77">
        <f t="shared" si="5"/>
        <v>5</v>
      </c>
      <c r="AT38" s="37"/>
      <c r="AU38" s="38"/>
    </row>
    <row r="39" spans="1:47" ht="18" customHeight="1">
      <c r="A39" s="65">
        <v>362</v>
      </c>
      <c r="B39" s="68" t="s">
        <v>187</v>
      </c>
      <c r="C39" s="33" t="s">
        <v>204</v>
      </c>
      <c r="D39" s="41"/>
      <c r="E39" s="75">
        <v>0</v>
      </c>
      <c r="F39" s="76">
        <v>0</v>
      </c>
      <c r="G39" s="76">
        <v>0</v>
      </c>
      <c r="H39" s="76">
        <v>0</v>
      </c>
      <c r="I39" s="76">
        <v>0</v>
      </c>
      <c r="J39" s="77">
        <f t="shared" si="0"/>
        <v>5</v>
      </c>
      <c r="K39" s="432"/>
      <c r="L39" s="24">
        <v>0</v>
      </c>
      <c r="M39" s="14">
        <v>0</v>
      </c>
      <c r="N39" s="14">
        <v>0</v>
      </c>
      <c r="O39" s="14">
        <v>0</v>
      </c>
      <c r="P39" s="14">
        <v>0</v>
      </c>
      <c r="Q39" s="77">
        <f t="shared" si="1"/>
        <v>5</v>
      </c>
      <c r="R39" s="24">
        <v>0</v>
      </c>
      <c r="S39" s="14">
        <v>0</v>
      </c>
      <c r="T39" s="14">
        <v>0</v>
      </c>
      <c r="U39" s="14">
        <v>0</v>
      </c>
      <c r="V39" s="14">
        <v>0</v>
      </c>
      <c r="W39" s="77">
        <f t="shared" si="2"/>
        <v>5</v>
      </c>
      <c r="X39" s="37"/>
      <c r="Y39" s="38"/>
      <c r="AA39" s="75">
        <v>0</v>
      </c>
      <c r="AB39" s="76">
        <v>0</v>
      </c>
      <c r="AC39" s="76">
        <v>0</v>
      </c>
      <c r="AD39" s="76">
        <v>0</v>
      </c>
      <c r="AE39" s="76">
        <v>0</v>
      </c>
      <c r="AF39" s="77">
        <f t="shared" si="3"/>
        <v>5</v>
      </c>
      <c r="AG39" s="432"/>
      <c r="AH39" s="24">
        <v>0</v>
      </c>
      <c r="AI39" s="14">
        <v>0</v>
      </c>
      <c r="AJ39" s="14">
        <v>0</v>
      </c>
      <c r="AK39" s="14">
        <v>0</v>
      </c>
      <c r="AL39" s="14">
        <v>0</v>
      </c>
      <c r="AM39" s="77">
        <f t="shared" si="4"/>
        <v>5</v>
      </c>
      <c r="AN39" s="24">
        <v>0</v>
      </c>
      <c r="AO39" s="14">
        <v>0</v>
      </c>
      <c r="AP39" s="14">
        <v>0</v>
      </c>
      <c r="AQ39" s="14">
        <v>0</v>
      </c>
      <c r="AR39" s="14">
        <v>0</v>
      </c>
      <c r="AS39" s="77">
        <f t="shared" si="5"/>
        <v>5</v>
      </c>
      <c r="AT39" s="37"/>
      <c r="AU39" s="38"/>
    </row>
    <row r="40" spans="1:47" ht="18" customHeight="1">
      <c r="A40" s="65">
        <v>364</v>
      </c>
      <c r="B40" s="68" t="s">
        <v>219</v>
      </c>
      <c r="C40" s="33"/>
      <c r="D40" s="41"/>
      <c r="E40" s="75">
        <v>0</v>
      </c>
      <c r="F40" s="76">
        <v>0</v>
      </c>
      <c r="G40" s="76">
        <v>0</v>
      </c>
      <c r="H40" s="76">
        <v>0</v>
      </c>
      <c r="I40" s="76">
        <v>0</v>
      </c>
      <c r="J40" s="77"/>
      <c r="K40" s="432"/>
      <c r="L40" s="24">
        <v>0</v>
      </c>
      <c r="M40" s="14">
        <v>0</v>
      </c>
      <c r="N40" s="14">
        <v>0</v>
      </c>
      <c r="O40" s="14">
        <v>0</v>
      </c>
      <c r="P40" s="14">
        <v>0</v>
      </c>
      <c r="Q40" s="77"/>
      <c r="R40" s="24">
        <v>0</v>
      </c>
      <c r="S40" s="14">
        <v>0</v>
      </c>
      <c r="T40" s="14">
        <v>0</v>
      </c>
      <c r="U40" s="14">
        <v>0</v>
      </c>
      <c r="V40" s="14">
        <v>0</v>
      </c>
      <c r="W40" s="77"/>
      <c r="X40" s="37"/>
      <c r="Y40" s="38"/>
      <c r="AA40" s="75">
        <v>0</v>
      </c>
      <c r="AB40" s="76">
        <v>0</v>
      </c>
      <c r="AC40" s="76">
        <v>0</v>
      </c>
      <c r="AD40" s="76">
        <v>0</v>
      </c>
      <c r="AE40" s="76">
        <v>0</v>
      </c>
      <c r="AF40" s="77"/>
      <c r="AG40" s="432"/>
      <c r="AH40" s="24">
        <v>0</v>
      </c>
      <c r="AI40" s="14">
        <v>0</v>
      </c>
      <c r="AJ40" s="14">
        <v>0</v>
      </c>
      <c r="AK40" s="14">
        <v>0</v>
      </c>
      <c r="AL40" s="14">
        <v>0</v>
      </c>
      <c r="AM40" s="77"/>
      <c r="AN40" s="24">
        <v>0</v>
      </c>
      <c r="AO40" s="14">
        <v>0</v>
      </c>
      <c r="AP40" s="14">
        <v>0</v>
      </c>
      <c r="AQ40" s="14">
        <v>0</v>
      </c>
      <c r="AR40" s="14">
        <v>0</v>
      </c>
      <c r="AS40" s="77"/>
      <c r="AT40" s="37"/>
      <c r="AU40" s="38"/>
    </row>
    <row r="41" spans="1:47" ht="18" customHeight="1">
      <c r="A41" s="65">
        <v>371</v>
      </c>
      <c r="B41" s="68" t="s">
        <v>191</v>
      </c>
      <c r="C41" s="33" t="s">
        <v>205</v>
      </c>
      <c r="D41" s="41"/>
      <c r="E41" s="75">
        <v>0</v>
      </c>
      <c r="F41" s="76">
        <v>0</v>
      </c>
      <c r="G41" s="76">
        <v>0</v>
      </c>
      <c r="H41" s="76">
        <v>0</v>
      </c>
      <c r="I41" s="76">
        <v>0</v>
      </c>
      <c r="J41" s="77">
        <f t="shared" ref="J41:J48" si="6">RANK(I41,I$6:I$48,0)</f>
        <v>5</v>
      </c>
      <c r="K41" s="432"/>
      <c r="L41" s="24">
        <v>0</v>
      </c>
      <c r="M41" s="14">
        <v>0</v>
      </c>
      <c r="N41" s="14">
        <v>0</v>
      </c>
      <c r="O41" s="14">
        <v>0</v>
      </c>
      <c r="P41" s="14">
        <v>0</v>
      </c>
      <c r="Q41" s="77">
        <f t="shared" ref="Q41:Q48" si="7">RANK(P41,P$6:P$48,0)</f>
        <v>5</v>
      </c>
      <c r="R41" s="24">
        <v>0</v>
      </c>
      <c r="S41" s="14">
        <v>0</v>
      </c>
      <c r="T41" s="14">
        <v>0</v>
      </c>
      <c r="U41" s="14">
        <v>0</v>
      </c>
      <c r="V41" s="14">
        <v>0</v>
      </c>
      <c r="W41" s="77">
        <f t="shared" ref="W41:W48" si="8">RANK(V41,V$6:V$48,0)</f>
        <v>5</v>
      </c>
      <c r="X41" s="37"/>
      <c r="Y41" s="38"/>
      <c r="AA41" s="75">
        <v>0</v>
      </c>
      <c r="AB41" s="76">
        <v>0</v>
      </c>
      <c r="AC41" s="76">
        <v>0</v>
      </c>
      <c r="AD41" s="76">
        <v>0</v>
      </c>
      <c r="AE41" s="76">
        <v>0</v>
      </c>
      <c r="AF41" s="77">
        <f t="shared" ref="AF41:AF48" si="9">RANK(AE41,AE$6:AE$48,0)</f>
        <v>5</v>
      </c>
      <c r="AG41" s="432"/>
      <c r="AH41" s="24">
        <v>0</v>
      </c>
      <c r="AI41" s="14">
        <v>0</v>
      </c>
      <c r="AJ41" s="14">
        <v>0</v>
      </c>
      <c r="AK41" s="14">
        <v>0</v>
      </c>
      <c r="AL41" s="14">
        <v>0</v>
      </c>
      <c r="AM41" s="77">
        <f t="shared" ref="AM41:AM48" si="10">RANK(AL41,AL$6:AL$48,0)</f>
        <v>5</v>
      </c>
      <c r="AN41" s="24">
        <v>0</v>
      </c>
      <c r="AO41" s="14">
        <v>0</v>
      </c>
      <c r="AP41" s="14">
        <v>0</v>
      </c>
      <c r="AQ41" s="14">
        <v>0</v>
      </c>
      <c r="AR41" s="14">
        <v>0</v>
      </c>
      <c r="AS41" s="77">
        <f t="shared" ref="AS41:AS48" si="11">RANK(AR41,AR$6:AR$48,0)</f>
        <v>5</v>
      </c>
      <c r="AT41" s="37"/>
      <c r="AU41" s="38"/>
    </row>
    <row r="42" spans="1:47" ht="18" customHeight="1">
      <c r="A42" s="65">
        <v>372</v>
      </c>
      <c r="B42" s="68" t="s">
        <v>54</v>
      </c>
      <c r="C42" s="33" t="s">
        <v>55</v>
      </c>
      <c r="D42" s="41"/>
      <c r="E42" s="75">
        <v>0</v>
      </c>
      <c r="F42" s="76">
        <v>0</v>
      </c>
      <c r="G42" s="76">
        <v>0</v>
      </c>
      <c r="H42" s="76">
        <v>0</v>
      </c>
      <c r="I42" s="76">
        <v>0</v>
      </c>
      <c r="J42" s="77">
        <f t="shared" si="6"/>
        <v>5</v>
      </c>
      <c r="K42" s="432"/>
      <c r="L42" s="24">
        <v>0</v>
      </c>
      <c r="M42" s="14">
        <v>0</v>
      </c>
      <c r="N42" s="14">
        <v>0</v>
      </c>
      <c r="O42" s="14">
        <v>0</v>
      </c>
      <c r="P42" s="14">
        <v>0</v>
      </c>
      <c r="Q42" s="77">
        <f t="shared" si="7"/>
        <v>5</v>
      </c>
      <c r="R42" s="24">
        <v>0</v>
      </c>
      <c r="S42" s="14">
        <v>0</v>
      </c>
      <c r="T42" s="14">
        <v>0</v>
      </c>
      <c r="U42" s="14">
        <v>0</v>
      </c>
      <c r="V42" s="14">
        <v>0</v>
      </c>
      <c r="W42" s="77">
        <f t="shared" si="8"/>
        <v>5</v>
      </c>
      <c r="X42" s="37"/>
      <c r="Y42" s="38"/>
      <c r="AA42" s="75">
        <v>0</v>
      </c>
      <c r="AB42" s="76">
        <v>0</v>
      </c>
      <c r="AC42" s="76">
        <v>0</v>
      </c>
      <c r="AD42" s="76">
        <v>0</v>
      </c>
      <c r="AE42" s="76">
        <v>0</v>
      </c>
      <c r="AF42" s="77">
        <f t="shared" si="9"/>
        <v>5</v>
      </c>
      <c r="AG42" s="432"/>
      <c r="AH42" s="24">
        <v>0</v>
      </c>
      <c r="AI42" s="14">
        <v>0</v>
      </c>
      <c r="AJ42" s="14">
        <v>0</v>
      </c>
      <c r="AK42" s="14">
        <v>0</v>
      </c>
      <c r="AL42" s="14">
        <v>0</v>
      </c>
      <c r="AM42" s="77">
        <f t="shared" si="10"/>
        <v>5</v>
      </c>
      <c r="AN42" s="24">
        <v>0</v>
      </c>
      <c r="AO42" s="14">
        <v>0</v>
      </c>
      <c r="AP42" s="14">
        <v>0</v>
      </c>
      <c r="AQ42" s="14">
        <v>0</v>
      </c>
      <c r="AR42" s="14">
        <v>0</v>
      </c>
      <c r="AS42" s="77">
        <f t="shared" si="11"/>
        <v>5</v>
      </c>
      <c r="AT42" s="37"/>
      <c r="AU42" s="38"/>
    </row>
    <row r="43" spans="1:47" ht="18" customHeight="1">
      <c r="A43" s="65">
        <v>374</v>
      </c>
      <c r="B43" s="68" t="s">
        <v>56</v>
      </c>
      <c r="C43" s="33" t="s">
        <v>57</v>
      </c>
      <c r="D43" s="41"/>
      <c r="E43" s="75">
        <v>0</v>
      </c>
      <c r="F43" s="76">
        <v>0</v>
      </c>
      <c r="G43" s="76">
        <v>0</v>
      </c>
      <c r="H43" s="76">
        <v>0</v>
      </c>
      <c r="I43" s="76">
        <v>0</v>
      </c>
      <c r="J43" s="77">
        <f t="shared" si="6"/>
        <v>5</v>
      </c>
      <c r="K43" s="432"/>
      <c r="L43" s="24">
        <v>0</v>
      </c>
      <c r="M43" s="14">
        <v>0</v>
      </c>
      <c r="N43" s="14">
        <v>0</v>
      </c>
      <c r="O43" s="14">
        <v>0</v>
      </c>
      <c r="P43" s="14">
        <v>0</v>
      </c>
      <c r="Q43" s="77">
        <f t="shared" si="7"/>
        <v>5</v>
      </c>
      <c r="R43" s="24">
        <v>0</v>
      </c>
      <c r="S43" s="14">
        <v>0</v>
      </c>
      <c r="T43" s="14">
        <v>0</v>
      </c>
      <c r="U43" s="14">
        <v>0</v>
      </c>
      <c r="V43" s="14">
        <v>0</v>
      </c>
      <c r="W43" s="77">
        <f t="shared" si="8"/>
        <v>5</v>
      </c>
      <c r="X43" s="37"/>
      <c r="Y43" s="38"/>
      <c r="AA43" s="75">
        <v>0</v>
      </c>
      <c r="AB43" s="76">
        <v>0</v>
      </c>
      <c r="AC43" s="76">
        <v>0</v>
      </c>
      <c r="AD43" s="76">
        <v>0</v>
      </c>
      <c r="AE43" s="76">
        <v>0</v>
      </c>
      <c r="AF43" s="77">
        <f t="shared" si="9"/>
        <v>5</v>
      </c>
      <c r="AG43" s="432"/>
      <c r="AH43" s="24">
        <v>0</v>
      </c>
      <c r="AI43" s="14">
        <v>0</v>
      </c>
      <c r="AJ43" s="14">
        <v>0</v>
      </c>
      <c r="AK43" s="14">
        <v>0</v>
      </c>
      <c r="AL43" s="14">
        <v>0</v>
      </c>
      <c r="AM43" s="77">
        <f t="shared" si="10"/>
        <v>5</v>
      </c>
      <c r="AN43" s="24">
        <v>0</v>
      </c>
      <c r="AO43" s="14">
        <v>0</v>
      </c>
      <c r="AP43" s="14">
        <v>0</v>
      </c>
      <c r="AQ43" s="14">
        <v>0</v>
      </c>
      <c r="AR43" s="14">
        <v>0</v>
      </c>
      <c r="AS43" s="77">
        <f t="shared" si="11"/>
        <v>5</v>
      </c>
      <c r="AT43" s="37"/>
      <c r="AU43" s="38"/>
    </row>
    <row r="44" spans="1:47" ht="16.5" customHeight="1">
      <c r="A44" s="65">
        <v>375</v>
      </c>
      <c r="B44" s="68" t="s">
        <v>58</v>
      </c>
      <c r="C44" s="33" t="s">
        <v>59</v>
      </c>
      <c r="D44" s="41"/>
      <c r="E44" s="75">
        <v>0</v>
      </c>
      <c r="F44" s="76">
        <v>0</v>
      </c>
      <c r="G44" s="76">
        <v>0</v>
      </c>
      <c r="H44" s="76">
        <v>0</v>
      </c>
      <c r="I44" s="76">
        <v>0</v>
      </c>
      <c r="J44" s="77">
        <f t="shared" si="6"/>
        <v>5</v>
      </c>
      <c r="K44" s="432"/>
      <c r="L44" s="24">
        <v>0</v>
      </c>
      <c r="M44" s="14">
        <v>0</v>
      </c>
      <c r="N44" s="14">
        <v>0</v>
      </c>
      <c r="O44" s="14">
        <v>0</v>
      </c>
      <c r="P44" s="14">
        <v>0</v>
      </c>
      <c r="Q44" s="77">
        <f t="shared" si="7"/>
        <v>5</v>
      </c>
      <c r="R44" s="24">
        <v>0</v>
      </c>
      <c r="S44" s="14">
        <v>0</v>
      </c>
      <c r="T44" s="14">
        <v>0</v>
      </c>
      <c r="U44" s="14">
        <v>0</v>
      </c>
      <c r="V44" s="14">
        <v>0</v>
      </c>
      <c r="W44" s="77">
        <f t="shared" si="8"/>
        <v>5</v>
      </c>
      <c r="X44" s="37"/>
      <c r="Y44" s="38"/>
      <c r="AA44" s="75">
        <v>0</v>
      </c>
      <c r="AB44" s="76">
        <v>0</v>
      </c>
      <c r="AC44" s="76">
        <v>0</v>
      </c>
      <c r="AD44" s="76">
        <v>0</v>
      </c>
      <c r="AE44" s="76">
        <v>0</v>
      </c>
      <c r="AF44" s="77">
        <f t="shared" si="9"/>
        <v>5</v>
      </c>
      <c r="AG44" s="432"/>
      <c r="AH44" s="24">
        <v>0</v>
      </c>
      <c r="AI44" s="14">
        <v>0</v>
      </c>
      <c r="AJ44" s="14">
        <v>0</v>
      </c>
      <c r="AK44" s="14">
        <v>0</v>
      </c>
      <c r="AL44" s="14">
        <v>0</v>
      </c>
      <c r="AM44" s="77">
        <f t="shared" si="10"/>
        <v>5</v>
      </c>
      <c r="AN44" s="24">
        <v>0</v>
      </c>
      <c r="AO44" s="14">
        <v>0</v>
      </c>
      <c r="AP44" s="14">
        <v>0</v>
      </c>
      <c r="AQ44" s="14">
        <v>0</v>
      </c>
      <c r="AR44" s="14">
        <v>0</v>
      </c>
      <c r="AS44" s="77">
        <f t="shared" si="11"/>
        <v>5</v>
      </c>
      <c r="AT44" s="37"/>
      <c r="AU44" s="38"/>
    </row>
    <row r="45" spans="1:47" ht="16.5" customHeight="1">
      <c r="A45" s="65">
        <v>376</v>
      </c>
      <c r="B45" s="68" t="s">
        <v>105</v>
      </c>
      <c r="C45" s="33" t="s">
        <v>207</v>
      </c>
      <c r="D45" s="42"/>
      <c r="E45" s="91">
        <v>0</v>
      </c>
      <c r="F45" s="82">
        <v>0</v>
      </c>
      <c r="G45" s="82">
        <v>0</v>
      </c>
      <c r="H45" s="82">
        <v>0</v>
      </c>
      <c r="I45" s="82">
        <v>0</v>
      </c>
      <c r="J45" s="93">
        <f t="shared" si="6"/>
        <v>5</v>
      </c>
      <c r="K45" s="432"/>
      <c r="L45" s="120">
        <v>0</v>
      </c>
      <c r="M45" s="92">
        <v>0</v>
      </c>
      <c r="N45" s="92">
        <v>0</v>
      </c>
      <c r="O45" s="92">
        <v>0</v>
      </c>
      <c r="P45" s="92">
        <v>0</v>
      </c>
      <c r="Q45" s="93">
        <f t="shared" si="7"/>
        <v>5</v>
      </c>
      <c r="R45" s="120">
        <v>0</v>
      </c>
      <c r="S45" s="92">
        <v>0</v>
      </c>
      <c r="T45" s="92">
        <v>0</v>
      </c>
      <c r="U45" s="92">
        <v>0</v>
      </c>
      <c r="V45" s="92">
        <v>0</v>
      </c>
      <c r="W45" s="93">
        <f t="shared" si="8"/>
        <v>5</v>
      </c>
      <c r="X45" s="37"/>
      <c r="Y45" s="38"/>
      <c r="AA45" s="91">
        <v>0</v>
      </c>
      <c r="AB45" s="82">
        <v>0</v>
      </c>
      <c r="AC45" s="82">
        <v>0</v>
      </c>
      <c r="AD45" s="82">
        <v>0</v>
      </c>
      <c r="AE45" s="82">
        <v>0</v>
      </c>
      <c r="AF45" s="93">
        <f t="shared" si="9"/>
        <v>5</v>
      </c>
      <c r="AG45" s="432"/>
      <c r="AH45" s="120">
        <v>0</v>
      </c>
      <c r="AI45" s="92">
        <v>0</v>
      </c>
      <c r="AJ45" s="92">
        <v>0</v>
      </c>
      <c r="AK45" s="92">
        <v>0</v>
      </c>
      <c r="AL45" s="92">
        <v>0</v>
      </c>
      <c r="AM45" s="93">
        <f t="shared" si="10"/>
        <v>5</v>
      </c>
      <c r="AN45" s="120">
        <v>0</v>
      </c>
      <c r="AO45" s="92">
        <v>0</v>
      </c>
      <c r="AP45" s="92">
        <v>0</v>
      </c>
      <c r="AQ45" s="92">
        <v>0</v>
      </c>
      <c r="AR45" s="92">
        <v>0</v>
      </c>
      <c r="AS45" s="93">
        <f t="shared" si="11"/>
        <v>5</v>
      </c>
      <c r="AT45" s="37"/>
      <c r="AU45" s="38"/>
    </row>
    <row r="46" spans="1:47" ht="16.5" customHeight="1">
      <c r="A46" s="66">
        <v>377</v>
      </c>
      <c r="B46" s="69" t="s">
        <v>163</v>
      </c>
      <c r="C46" s="33" t="s">
        <v>104</v>
      </c>
      <c r="D46" s="42"/>
      <c r="E46" s="75">
        <v>0</v>
      </c>
      <c r="F46" s="76">
        <v>0</v>
      </c>
      <c r="G46" s="76">
        <v>0</v>
      </c>
      <c r="H46" s="76">
        <v>0</v>
      </c>
      <c r="I46" s="76">
        <v>0</v>
      </c>
      <c r="J46" s="77">
        <f t="shared" si="6"/>
        <v>5</v>
      </c>
      <c r="K46" s="432"/>
      <c r="L46" s="24">
        <v>0</v>
      </c>
      <c r="M46" s="14">
        <v>0</v>
      </c>
      <c r="N46" s="14">
        <v>0</v>
      </c>
      <c r="O46" s="14">
        <v>0</v>
      </c>
      <c r="P46" s="14">
        <v>0</v>
      </c>
      <c r="Q46" s="77">
        <f t="shared" si="7"/>
        <v>5</v>
      </c>
      <c r="R46" s="24">
        <v>0</v>
      </c>
      <c r="S46" s="14">
        <v>0</v>
      </c>
      <c r="T46" s="14">
        <v>0</v>
      </c>
      <c r="U46" s="14">
        <v>0</v>
      </c>
      <c r="V46" s="14">
        <v>0</v>
      </c>
      <c r="W46" s="77">
        <f t="shared" si="8"/>
        <v>5</v>
      </c>
      <c r="X46" s="37"/>
      <c r="Y46" s="38"/>
      <c r="AA46" s="75">
        <v>0</v>
      </c>
      <c r="AB46" s="76">
        <v>0</v>
      </c>
      <c r="AC46" s="76">
        <v>0</v>
      </c>
      <c r="AD46" s="76">
        <v>0</v>
      </c>
      <c r="AE46" s="76">
        <v>0</v>
      </c>
      <c r="AF46" s="77">
        <f t="shared" si="9"/>
        <v>5</v>
      </c>
      <c r="AG46" s="432"/>
      <c r="AH46" s="24">
        <v>0</v>
      </c>
      <c r="AI46" s="14">
        <v>0</v>
      </c>
      <c r="AJ46" s="14">
        <v>0</v>
      </c>
      <c r="AK46" s="14">
        <v>0</v>
      </c>
      <c r="AL46" s="14">
        <v>0</v>
      </c>
      <c r="AM46" s="77">
        <f t="shared" si="10"/>
        <v>5</v>
      </c>
      <c r="AN46" s="24">
        <v>0</v>
      </c>
      <c r="AO46" s="14">
        <v>0</v>
      </c>
      <c r="AP46" s="14">
        <v>0</v>
      </c>
      <c r="AQ46" s="14">
        <v>0</v>
      </c>
      <c r="AR46" s="14">
        <v>0</v>
      </c>
      <c r="AS46" s="77">
        <f t="shared" si="11"/>
        <v>5</v>
      </c>
      <c r="AT46" s="37"/>
      <c r="AU46" s="38"/>
    </row>
    <row r="47" spans="1:47" ht="16.5" customHeight="1">
      <c r="A47" s="66">
        <v>378</v>
      </c>
      <c r="B47" s="69" t="s">
        <v>163</v>
      </c>
      <c r="C47" s="33" t="s">
        <v>208</v>
      </c>
      <c r="D47" s="42"/>
      <c r="E47" s="75">
        <v>0</v>
      </c>
      <c r="F47" s="76">
        <v>0</v>
      </c>
      <c r="G47" s="76">
        <v>0</v>
      </c>
      <c r="H47" s="76">
        <v>0</v>
      </c>
      <c r="I47" s="76">
        <v>0</v>
      </c>
      <c r="J47" s="77">
        <f t="shared" si="6"/>
        <v>5</v>
      </c>
      <c r="K47" s="432"/>
      <c r="L47" s="24">
        <v>0</v>
      </c>
      <c r="M47" s="14">
        <v>0</v>
      </c>
      <c r="N47" s="14">
        <v>0</v>
      </c>
      <c r="O47" s="14">
        <v>0</v>
      </c>
      <c r="P47" s="14">
        <v>0</v>
      </c>
      <c r="Q47" s="77">
        <f t="shared" si="7"/>
        <v>5</v>
      </c>
      <c r="R47" s="24">
        <v>0</v>
      </c>
      <c r="S47" s="14">
        <v>0</v>
      </c>
      <c r="T47" s="14">
        <v>0</v>
      </c>
      <c r="U47" s="14">
        <v>0</v>
      </c>
      <c r="V47" s="14">
        <v>0</v>
      </c>
      <c r="W47" s="77">
        <f t="shared" si="8"/>
        <v>5</v>
      </c>
      <c r="X47" s="37"/>
      <c r="Y47" s="38"/>
      <c r="AA47" s="75">
        <v>0</v>
      </c>
      <c r="AB47" s="76">
        <v>0</v>
      </c>
      <c r="AC47" s="76">
        <v>0</v>
      </c>
      <c r="AD47" s="76">
        <v>0</v>
      </c>
      <c r="AE47" s="76">
        <v>0</v>
      </c>
      <c r="AF47" s="77">
        <f t="shared" si="9"/>
        <v>5</v>
      </c>
      <c r="AG47" s="432"/>
      <c r="AH47" s="24">
        <v>0</v>
      </c>
      <c r="AI47" s="14">
        <v>0</v>
      </c>
      <c r="AJ47" s="14">
        <v>0</v>
      </c>
      <c r="AK47" s="14">
        <v>0</v>
      </c>
      <c r="AL47" s="14">
        <v>0</v>
      </c>
      <c r="AM47" s="77">
        <f t="shared" si="10"/>
        <v>5</v>
      </c>
      <c r="AN47" s="24">
        <v>0</v>
      </c>
      <c r="AO47" s="14">
        <v>0</v>
      </c>
      <c r="AP47" s="14">
        <v>0</v>
      </c>
      <c r="AQ47" s="14">
        <v>0</v>
      </c>
      <c r="AR47" s="14">
        <v>0</v>
      </c>
      <c r="AS47" s="77">
        <f t="shared" si="11"/>
        <v>5</v>
      </c>
      <c r="AT47" s="37"/>
      <c r="AU47" s="38"/>
    </row>
    <row r="48" spans="1:47" ht="16.5" customHeight="1" thickBot="1">
      <c r="A48" s="67">
        <v>381</v>
      </c>
      <c r="B48" s="70" t="s">
        <v>60</v>
      </c>
      <c r="C48" s="34" t="s">
        <v>61</v>
      </c>
      <c r="D48" s="42"/>
      <c r="E48" s="75">
        <v>0</v>
      </c>
      <c r="F48" s="76">
        <v>0</v>
      </c>
      <c r="G48" s="76">
        <v>0</v>
      </c>
      <c r="H48" s="76">
        <v>0</v>
      </c>
      <c r="I48" s="76">
        <v>0</v>
      </c>
      <c r="J48" s="77">
        <f t="shared" si="6"/>
        <v>5</v>
      </c>
      <c r="K48" s="432"/>
      <c r="L48" s="47">
        <v>0</v>
      </c>
      <c r="M48" s="48">
        <v>0</v>
      </c>
      <c r="N48" s="48">
        <v>0</v>
      </c>
      <c r="O48" s="48">
        <v>0</v>
      </c>
      <c r="P48" s="48">
        <v>0</v>
      </c>
      <c r="Q48" s="77">
        <f t="shared" si="7"/>
        <v>5</v>
      </c>
      <c r="R48" s="47">
        <v>0</v>
      </c>
      <c r="S48" s="48">
        <v>0</v>
      </c>
      <c r="T48" s="48">
        <v>0</v>
      </c>
      <c r="U48" s="48">
        <v>0</v>
      </c>
      <c r="V48" s="48">
        <v>0</v>
      </c>
      <c r="W48" s="77">
        <f t="shared" si="8"/>
        <v>5</v>
      </c>
      <c r="X48" s="37"/>
      <c r="Y48" s="38"/>
      <c r="AA48" s="75">
        <v>0</v>
      </c>
      <c r="AB48" s="76">
        <v>0</v>
      </c>
      <c r="AC48" s="76">
        <v>0</v>
      </c>
      <c r="AD48" s="76">
        <v>0</v>
      </c>
      <c r="AE48" s="76">
        <v>0</v>
      </c>
      <c r="AF48" s="77">
        <f t="shared" si="9"/>
        <v>5</v>
      </c>
      <c r="AG48" s="432"/>
      <c r="AH48" s="47">
        <v>0</v>
      </c>
      <c r="AI48" s="48">
        <v>0</v>
      </c>
      <c r="AJ48" s="48">
        <v>0</v>
      </c>
      <c r="AK48" s="48">
        <v>0</v>
      </c>
      <c r="AL48" s="48">
        <v>0</v>
      </c>
      <c r="AM48" s="77">
        <f t="shared" si="10"/>
        <v>5</v>
      </c>
      <c r="AN48" s="47">
        <v>0</v>
      </c>
      <c r="AO48" s="48">
        <v>0</v>
      </c>
      <c r="AP48" s="48">
        <v>0</v>
      </c>
      <c r="AQ48" s="48">
        <v>0</v>
      </c>
      <c r="AR48" s="48">
        <v>0</v>
      </c>
      <c r="AS48" s="77">
        <f t="shared" si="11"/>
        <v>5</v>
      </c>
      <c r="AT48" s="37"/>
      <c r="AU48" s="38"/>
    </row>
    <row r="49" spans="1:47" ht="15" thickBot="1">
      <c r="A49" s="342" t="s">
        <v>168</v>
      </c>
      <c r="B49" s="343"/>
      <c r="C49" s="46"/>
      <c r="D49" s="43"/>
      <c r="E49" s="179"/>
      <c r="F49" s="176"/>
      <c r="G49" s="176"/>
      <c r="H49" s="176"/>
      <c r="I49" s="176"/>
      <c r="J49" s="51"/>
      <c r="K49" s="432"/>
      <c r="L49" s="49"/>
      <c r="M49" s="50"/>
      <c r="N49" s="50"/>
      <c r="O49" s="50"/>
      <c r="P49" s="50"/>
      <c r="Q49" s="51"/>
      <c r="R49" s="49"/>
      <c r="S49" s="50"/>
      <c r="T49" s="50"/>
      <c r="U49" s="50"/>
      <c r="V49" s="50"/>
      <c r="W49" s="51"/>
      <c r="X49" s="37"/>
      <c r="Y49" s="38"/>
      <c r="AA49" s="179"/>
      <c r="AB49" s="176"/>
      <c r="AC49" s="176"/>
      <c r="AD49" s="176"/>
      <c r="AE49" s="176"/>
      <c r="AF49" s="51"/>
      <c r="AG49" s="432"/>
      <c r="AH49" s="49"/>
      <c r="AI49" s="50"/>
      <c r="AJ49" s="50"/>
      <c r="AK49" s="50"/>
      <c r="AL49" s="50"/>
      <c r="AM49" s="51"/>
      <c r="AN49" s="49"/>
      <c r="AO49" s="50"/>
      <c r="AP49" s="50"/>
      <c r="AQ49" s="50"/>
      <c r="AR49" s="50"/>
      <c r="AS49" s="51"/>
      <c r="AT49" s="37"/>
      <c r="AU49" s="38"/>
    </row>
    <row r="50" spans="1:47" ht="14">
      <c r="A50" s="344"/>
      <c r="B50" s="345"/>
      <c r="C50" s="35" t="s">
        <v>62</v>
      </c>
      <c r="D50" s="43"/>
      <c r="E50" s="20">
        <f>SUM(E6:E48)</f>
        <v>54626813028</v>
      </c>
      <c r="F50" s="10">
        <f t="shared" ref="F50:H50" si="12">SUM(F6:F48)</f>
        <v>6496908919</v>
      </c>
      <c r="G50" s="10">
        <f t="shared" si="12"/>
        <v>48129904109</v>
      </c>
      <c r="H50" s="10">
        <f t="shared" si="12"/>
        <v>86645</v>
      </c>
      <c r="I50" s="10">
        <f>IF(H50=0,0,ROUND(G50/H50/12,0))</f>
        <v>46290</v>
      </c>
      <c r="J50" s="11" t="s">
        <v>63</v>
      </c>
      <c r="K50" s="188"/>
      <c r="L50" s="20">
        <f>SUM(L6:L48)</f>
        <v>55905003254</v>
      </c>
      <c r="M50" s="10">
        <f t="shared" ref="M50:O50" si="13">SUM(M6:M48)</f>
        <v>6931246962</v>
      </c>
      <c r="N50" s="10">
        <f t="shared" si="13"/>
        <v>48973756292</v>
      </c>
      <c r="O50" s="10">
        <f t="shared" si="13"/>
        <v>86275.83</v>
      </c>
      <c r="P50" s="10">
        <f>IF(O50=0,0,ROUND(N50/O50/12,0))</f>
        <v>47303</v>
      </c>
      <c r="Q50" s="11" t="s">
        <v>63</v>
      </c>
      <c r="R50" s="20">
        <f>SUM(R6:R48)</f>
        <v>55831496112.73999</v>
      </c>
      <c r="S50" s="10">
        <f t="shared" ref="S50:U50" si="14">SUM(S6:S48)</f>
        <v>7025170023.9099998</v>
      </c>
      <c r="T50" s="10">
        <f t="shared" si="14"/>
        <v>48806326088.829994</v>
      </c>
      <c r="U50" s="10">
        <f t="shared" si="14"/>
        <v>80444.919999999984</v>
      </c>
      <c r="V50" s="10">
        <f>IF(U50=0,0,ROUND(T50/U50/12,0))</f>
        <v>50559</v>
      </c>
      <c r="W50" s="11" t="s">
        <v>63</v>
      </c>
      <c r="X50" s="53"/>
      <c r="Y50" s="52"/>
      <c r="AA50" s="224">
        <f>SUM(AA6:AA48)</f>
        <v>59190335816</v>
      </c>
      <c r="AB50" s="225">
        <f t="shared" ref="AB50:AD50" si="15">SUM(AB6:AB48)</f>
        <v>6957563875</v>
      </c>
      <c r="AC50" s="225">
        <f t="shared" si="15"/>
        <v>52232771941</v>
      </c>
      <c r="AD50" s="187">
        <f t="shared" si="15"/>
        <v>86188</v>
      </c>
      <c r="AE50" s="10">
        <f>IF(AD50=0,0,ROUND(AC50/AD50/12,0))</f>
        <v>50503</v>
      </c>
      <c r="AF50" s="11" t="s">
        <v>63</v>
      </c>
      <c r="AG50" s="188"/>
      <c r="AH50" s="224">
        <f>SUM(AH6:AH48)</f>
        <v>60135805115</v>
      </c>
      <c r="AI50" s="225">
        <f t="shared" ref="AI50:AK50" si="16">SUM(AI6:AI48)</f>
        <v>7429978126</v>
      </c>
      <c r="AJ50" s="225">
        <f t="shared" si="16"/>
        <v>52705826989</v>
      </c>
      <c r="AK50" s="187">
        <f t="shared" si="16"/>
        <v>86836.49</v>
      </c>
      <c r="AL50" s="10">
        <f>IF(AK50=0,0,ROUND(AJ50/AK50/12,0))</f>
        <v>50580</v>
      </c>
      <c r="AM50" s="11" t="s">
        <v>63</v>
      </c>
      <c r="AN50" s="224">
        <f>SUM(AN6:AN48)</f>
        <v>59956123120.079994</v>
      </c>
      <c r="AO50" s="225">
        <f t="shared" ref="AO50:AQ50" si="17">SUM(AO6:AO48)</f>
        <v>7541860603.1600018</v>
      </c>
      <c r="AP50" s="225">
        <f t="shared" si="17"/>
        <v>52414262516.919998</v>
      </c>
      <c r="AQ50" s="187">
        <f t="shared" si="17"/>
        <v>79987.989999999991</v>
      </c>
      <c r="AR50" s="10">
        <f>IF(AQ50=0,0,ROUND(AP50/AQ50/12,0))</f>
        <v>54606</v>
      </c>
      <c r="AS50" s="11" t="s">
        <v>63</v>
      </c>
      <c r="AT50" s="53"/>
      <c r="AU50" s="52"/>
    </row>
    <row r="51" spans="1:47" ht="21" customHeight="1" thickBot="1">
      <c r="A51" s="346"/>
      <c r="B51" s="347"/>
      <c r="C51" s="36"/>
      <c r="D51" s="44"/>
      <c r="E51" s="21"/>
      <c r="F51" s="171"/>
      <c r="G51" s="171"/>
      <c r="H51" s="171"/>
      <c r="I51" s="22"/>
      <c r="J51" s="23"/>
      <c r="K51" s="433"/>
      <c r="L51" s="21"/>
      <c r="M51" s="22"/>
      <c r="N51" s="22"/>
      <c r="O51" s="22"/>
      <c r="P51" s="22"/>
      <c r="Q51" s="23"/>
      <c r="R51" s="21"/>
      <c r="S51" s="22"/>
      <c r="T51" s="22"/>
      <c r="U51" s="22"/>
      <c r="V51" s="22"/>
      <c r="W51" s="23"/>
      <c r="X51" s="40"/>
      <c r="Y51" s="25"/>
      <c r="AA51" s="21"/>
      <c r="AB51" s="171"/>
      <c r="AC51" s="171"/>
      <c r="AD51" s="171"/>
      <c r="AE51" s="22"/>
      <c r="AF51" s="23"/>
      <c r="AG51" s="433"/>
      <c r="AH51" s="21"/>
      <c r="AI51" s="22"/>
      <c r="AJ51" s="22"/>
      <c r="AK51" s="22"/>
      <c r="AL51" s="22"/>
      <c r="AM51" s="23"/>
      <c r="AN51" s="21"/>
      <c r="AO51" s="22"/>
      <c r="AP51" s="22"/>
      <c r="AQ51" s="22"/>
      <c r="AR51" s="22"/>
      <c r="AS51" s="23"/>
      <c r="AT51" s="40"/>
      <c r="AU51" s="25"/>
    </row>
    <row r="52" spans="1:47" ht="14" thickBot="1">
      <c r="K52" s="189"/>
      <c r="X52" s="21"/>
      <c r="Y52" s="23"/>
      <c r="AG52" s="189"/>
      <c r="AT52" s="21"/>
      <c r="AU52" s="23"/>
    </row>
    <row r="53" spans="1:47">
      <c r="A53" s="251"/>
      <c r="B53" s="251"/>
      <c r="C53" s="16"/>
      <c r="D53" s="16"/>
      <c r="E53" s="251" t="b">
        <f>E50=SUMAR!E9</f>
        <v>1</v>
      </c>
      <c r="F53" s="251" t="b">
        <f>F50=SUMAR!F9</f>
        <v>1</v>
      </c>
      <c r="G53" s="251" t="b">
        <f>G50=SUMAR!G9</f>
        <v>1</v>
      </c>
      <c r="H53" s="251" t="b">
        <f>H50=SUMAR!H9</f>
        <v>1</v>
      </c>
      <c r="I53" s="251" t="b">
        <f>ROUND(I50,0)=ROUND(SUMAR!I9,0)</f>
        <v>1</v>
      </c>
      <c r="J53" s="251"/>
      <c r="L53" s="252" t="b">
        <f>L50=SUMAR!L9</f>
        <v>1</v>
      </c>
      <c r="M53" s="252" t="b">
        <f>M50=SUMAR!M9</f>
        <v>1</v>
      </c>
      <c r="N53" s="252" t="b">
        <f>N50=SUMAR!N9</f>
        <v>1</v>
      </c>
      <c r="O53" s="252" t="b">
        <f>O50=SUMAR!O9</f>
        <v>1</v>
      </c>
      <c r="P53" s="252" t="b">
        <f>ROUND(P50,0)=ROUND(SUMAR!P9,0)</f>
        <v>1</v>
      </c>
      <c r="Q53" s="251"/>
      <c r="R53" s="252" t="b">
        <f>R50=SUMAR!R9</f>
        <v>1</v>
      </c>
      <c r="S53" s="252" t="b">
        <f>S50=SUMAR!S9</f>
        <v>1</v>
      </c>
      <c r="T53" s="252" t="b">
        <f>T50=SUMAR!T9</f>
        <v>1</v>
      </c>
      <c r="U53" s="252" t="b">
        <f>U50=SUMAR!U9</f>
        <v>1</v>
      </c>
      <c r="V53" s="252" t="b">
        <f>ROUND(V50,0)=ROUND(SUMAR!V9,0)</f>
        <v>1</v>
      </c>
      <c r="W53" s="251"/>
      <c r="AA53" s="252" t="b">
        <f>AA50=SUMAR!AA9</f>
        <v>1</v>
      </c>
      <c r="AB53" s="252" t="b">
        <f>AB50=SUMAR!AB9</f>
        <v>1</v>
      </c>
      <c r="AC53" s="252" t="b">
        <f>AC50=SUMAR!AC9</f>
        <v>1</v>
      </c>
      <c r="AD53" s="252" t="b">
        <f>AD50=SUMAR!AD9</f>
        <v>1</v>
      </c>
      <c r="AE53" s="252" t="b">
        <f>ROUND(AE50,0)=ROUND(SUMAR!AE9,0)</f>
        <v>1</v>
      </c>
      <c r="AF53" s="251"/>
      <c r="AH53" s="252" t="b">
        <f>AH50=SUMAR!AH9</f>
        <v>1</v>
      </c>
      <c r="AI53" s="252" t="b">
        <f>AI50=SUMAR!AI9</f>
        <v>1</v>
      </c>
      <c r="AJ53" s="252" t="b">
        <f>AJ50=SUMAR!AJ9</f>
        <v>1</v>
      </c>
      <c r="AK53" s="252" t="b">
        <f>AK50=SUMAR!AK9</f>
        <v>1</v>
      </c>
      <c r="AL53" s="252" t="b">
        <f>ROUND(AL50,0)=ROUND(SUMAR!AL9,0)</f>
        <v>1</v>
      </c>
      <c r="AM53" s="251"/>
      <c r="AN53" s="252" t="b">
        <f>AN50=SUMAR!AN9</f>
        <v>1</v>
      </c>
      <c r="AO53" s="252" t="b">
        <f>AO50=SUMAR!AO9</f>
        <v>1</v>
      </c>
      <c r="AP53" s="252" t="b">
        <f>AP50=SUMAR!AP9</f>
        <v>1</v>
      </c>
      <c r="AQ53" s="252" t="b">
        <f>AQ50=SUMAR!AQ9</f>
        <v>1</v>
      </c>
      <c r="AR53" s="252" t="b">
        <f>ROUND(AR50,0)=ROUND(SUMAR!AR9,0)</f>
        <v>1</v>
      </c>
      <c r="AS53" s="251"/>
    </row>
    <row r="54" spans="1:47">
      <c r="E54" s="7"/>
      <c r="F54" s="173"/>
      <c r="G54" s="173"/>
      <c r="H54" s="173"/>
      <c r="I54" s="7"/>
      <c r="K54" s="9"/>
      <c r="X54" s="9"/>
      <c r="Y54" s="9"/>
      <c r="AG54" s="9"/>
      <c r="AT54" s="9"/>
      <c r="AU54" s="9"/>
    </row>
    <row r="55" spans="1:47">
      <c r="E55" s="9"/>
      <c r="F55" s="173"/>
      <c r="I55" s="9"/>
      <c r="J55" s="9"/>
      <c r="L55" s="60"/>
      <c r="M55" s="60"/>
      <c r="N55" s="60"/>
      <c r="O55" s="60"/>
      <c r="P55" s="60"/>
      <c r="Q55" s="9"/>
      <c r="R55" s="9"/>
      <c r="S55" s="9"/>
      <c r="T55" s="9"/>
      <c r="U55" s="9"/>
      <c r="V55" s="9"/>
      <c r="W55" s="9"/>
    </row>
    <row r="56" spans="1:47">
      <c r="E56" s="7"/>
      <c r="F56" s="173"/>
      <c r="H56" s="173"/>
      <c r="I56" s="7"/>
      <c r="K56" s="9"/>
      <c r="X56" s="9"/>
      <c r="Y56" s="9"/>
      <c r="AG56" s="9"/>
      <c r="AT56" s="9"/>
      <c r="AU56" s="9"/>
    </row>
    <row r="57" spans="1:47">
      <c r="E57" s="9"/>
      <c r="F57" s="173"/>
      <c r="I57" s="9"/>
      <c r="J57" s="9"/>
      <c r="L57" s="60"/>
      <c r="M57" s="60"/>
      <c r="N57" s="60"/>
      <c r="O57" s="60"/>
      <c r="P57" s="60"/>
      <c r="Q57" s="9"/>
      <c r="R57" s="9"/>
      <c r="S57" s="9"/>
      <c r="T57" s="9"/>
      <c r="U57" s="9"/>
      <c r="V57" s="9"/>
      <c r="W57" s="9"/>
    </row>
    <row r="58" spans="1:47">
      <c r="A58" s="163"/>
      <c r="B58" s="163"/>
      <c r="C58" s="168"/>
      <c r="D58" s="168"/>
      <c r="E58" s="165"/>
      <c r="F58" s="173"/>
      <c r="H58" s="174"/>
      <c r="I58" s="165"/>
      <c r="J58" s="163"/>
      <c r="K58" s="9"/>
      <c r="L58" s="163"/>
      <c r="M58" s="163"/>
      <c r="N58" s="163"/>
      <c r="O58" s="163"/>
      <c r="P58" s="163"/>
      <c r="Q58" s="163"/>
      <c r="R58" s="163"/>
      <c r="S58" s="163"/>
      <c r="T58" s="163"/>
      <c r="U58" s="163"/>
      <c r="V58" s="163"/>
      <c r="W58" s="163"/>
      <c r="X58" s="9"/>
      <c r="Y58" s="9"/>
      <c r="AA58" s="163"/>
      <c r="AB58" s="163"/>
      <c r="AC58" s="163"/>
      <c r="AD58" s="163"/>
      <c r="AE58" s="163"/>
      <c r="AF58" s="163"/>
      <c r="AG58" s="9"/>
      <c r="AH58" s="163"/>
      <c r="AI58" s="163"/>
      <c r="AJ58" s="163"/>
      <c r="AK58" s="163"/>
      <c r="AL58" s="163"/>
      <c r="AM58" s="163"/>
      <c r="AN58" s="163"/>
      <c r="AO58" s="163"/>
      <c r="AP58" s="163"/>
      <c r="AQ58" s="163"/>
      <c r="AR58" s="163"/>
      <c r="AS58" s="163"/>
      <c r="AT58" s="9"/>
      <c r="AU58" s="9"/>
    </row>
    <row r="59" spans="1:47">
      <c r="A59" s="163"/>
      <c r="B59" s="163"/>
      <c r="C59" s="168"/>
      <c r="D59" s="168"/>
      <c r="E59" s="163"/>
      <c r="F59" s="173"/>
      <c r="H59" s="175"/>
      <c r="I59" s="163"/>
      <c r="J59" s="163"/>
      <c r="L59" s="163"/>
      <c r="M59" s="163"/>
      <c r="N59" s="163"/>
      <c r="O59" s="163"/>
      <c r="P59" s="163"/>
      <c r="Q59" s="163"/>
      <c r="R59" s="163"/>
      <c r="S59" s="163"/>
      <c r="T59" s="163"/>
      <c r="U59" s="163"/>
      <c r="V59" s="163"/>
      <c r="W59" s="163"/>
      <c r="AA59" s="163"/>
      <c r="AB59" s="163"/>
      <c r="AC59" s="163"/>
      <c r="AD59" s="163"/>
      <c r="AE59" s="163"/>
      <c r="AF59" s="163"/>
      <c r="AH59" s="163"/>
      <c r="AI59" s="163"/>
      <c r="AJ59" s="163"/>
      <c r="AK59" s="163"/>
      <c r="AL59" s="163"/>
      <c r="AM59" s="163"/>
      <c r="AN59" s="163"/>
      <c r="AO59" s="163"/>
      <c r="AP59" s="163"/>
      <c r="AQ59" s="163"/>
      <c r="AR59" s="163"/>
      <c r="AS59" s="163"/>
    </row>
    <row r="60" spans="1:47">
      <c r="A60" s="163"/>
      <c r="B60" s="163"/>
      <c r="C60" s="168"/>
      <c r="D60" s="168"/>
      <c r="E60" s="163"/>
      <c r="F60" s="173"/>
      <c r="H60" s="175"/>
      <c r="I60" s="163"/>
      <c r="J60" s="163"/>
      <c r="L60" s="163"/>
      <c r="M60" s="163"/>
      <c r="N60" s="163"/>
      <c r="O60" s="163"/>
      <c r="P60" s="163"/>
      <c r="Q60" s="163"/>
      <c r="R60" s="163"/>
      <c r="S60" s="163"/>
      <c r="T60" s="163"/>
      <c r="U60" s="163"/>
      <c r="V60" s="163"/>
      <c r="W60" s="163"/>
      <c r="AA60" s="163"/>
      <c r="AB60" s="163"/>
      <c r="AC60" s="163"/>
      <c r="AD60" s="163"/>
      <c r="AE60" s="163"/>
      <c r="AF60" s="163"/>
      <c r="AH60" s="163"/>
      <c r="AI60" s="163"/>
      <c r="AJ60" s="163"/>
      <c r="AK60" s="163"/>
      <c r="AL60" s="163"/>
      <c r="AM60" s="163"/>
      <c r="AN60" s="163"/>
      <c r="AO60" s="163"/>
      <c r="AP60" s="163"/>
      <c r="AQ60" s="163"/>
      <c r="AR60" s="163"/>
      <c r="AS60" s="163"/>
    </row>
    <row r="61" spans="1:47">
      <c r="F61" s="173"/>
    </row>
    <row r="62" spans="1:47">
      <c r="F62" s="173"/>
    </row>
    <row r="63" spans="1:47">
      <c r="F63" s="173"/>
    </row>
    <row r="64" spans="1:47">
      <c r="F64" s="173"/>
    </row>
    <row r="65" spans="6:6">
      <c r="F65" s="173"/>
    </row>
    <row r="66" spans="6:6">
      <c r="F66" s="173"/>
    </row>
    <row r="67" spans="6:6">
      <c r="F67" s="173"/>
    </row>
    <row r="68" spans="6:6">
      <c r="F68" s="173"/>
    </row>
    <row r="69" spans="6:6">
      <c r="F69" s="173"/>
    </row>
    <row r="70" spans="6:6">
      <c r="F70" s="173"/>
    </row>
    <row r="71" spans="6:6">
      <c r="F71" s="173"/>
    </row>
    <row r="72" spans="6:6">
      <c r="F72" s="173"/>
    </row>
    <row r="73" spans="6:6">
      <c r="F73" s="173"/>
    </row>
    <row r="74" spans="6:6">
      <c r="F74" s="173"/>
    </row>
    <row r="75" spans="6:6">
      <c r="F75" s="173"/>
    </row>
    <row r="76" spans="6:6">
      <c r="F76" s="173"/>
    </row>
    <row r="77" spans="6:6">
      <c r="F77" s="173"/>
    </row>
    <row r="78" spans="6:6">
      <c r="F78" s="173"/>
    </row>
    <row r="79" spans="6:6">
      <c r="F79" s="173"/>
    </row>
    <row r="80" spans="6:6">
      <c r="F80" s="173"/>
    </row>
    <row r="81" spans="6:6">
      <c r="F81" s="173"/>
    </row>
    <row r="82" spans="6:6">
      <c r="F82" s="173"/>
    </row>
    <row r="83" spans="6:6">
      <c r="F83" s="173"/>
    </row>
    <row r="84" spans="6:6">
      <c r="F84" s="173"/>
    </row>
    <row r="85" spans="6:6">
      <c r="F85" s="173"/>
    </row>
    <row r="86" spans="6:6">
      <c r="F86" s="173"/>
    </row>
    <row r="87" spans="6:6">
      <c r="F87" s="173"/>
    </row>
    <row r="88" spans="6:6">
      <c r="F88" s="173"/>
    </row>
    <row r="89" spans="6:6">
      <c r="F89" s="173"/>
    </row>
    <row r="90" spans="6:6">
      <c r="F90" s="173"/>
    </row>
    <row r="91" spans="6:6">
      <c r="F91" s="173"/>
    </row>
    <row r="92" spans="6:6">
      <c r="F92" s="173"/>
    </row>
    <row r="93" spans="6:6">
      <c r="F93" s="173"/>
    </row>
    <row r="94" spans="6:6">
      <c r="F94" s="173"/>
    </row>
    <row r="95" spans="6:6">
      <c r="F95" s="173"/>
    </row>
    <row r="96" spans="6:6">
      <c r="F96" s="173"/>
    </row>
    <row r="97" spans="6:6">
      <c r="F97" s="173"/>
    </row>
  </sheetData>
  <mergeCells count="61">
    <mergeCell ref="AT1:AU2"/>
    <mergeCell ref="AT3:AT5"/>
    <mergeCell ref="AU3:AU5"/>
    <mergeCell ref="X1:Y2"/>
    <mergeCell ref="X3:X5"/>
    <mergeCell ref="Y3:Y5"/>
    <mergeCell ref="L3:L5"/>
    <mergeCell ref="M3:N3"/>
    <mergeCell ref="O3:O5"/>
    <mergeCell ref="P3:P5"/>
    <mergeCell ref="A49:B51"/>
    <mergeCell ref="A1:A5"/>
    <mergeCell ref="B1:B5"/>
    <mergeCell ref="K1:K2"/>
    <mergeCell ref="K3:K5"/>
    <mergeCell ref="M4:M5"/>
    <mergeCell ref="N4:N5"/>
    <mergeCell ref="S4:S5"/>
    <mergeCell ref="T4:T5"/>
    <mergeCell ref="R3:R5"/>
    <mergeCell ref="S3:T3"/>
    <mergeCell ref="E3:E5"/>
    <mergeCell ref="F3:G3"/>
    <mergeCell ref="H3:H5"/>
    <mergeCell ref="I3:I5"/>
    <mergeCell ref="J3:J5"/>
    <mergeCell ref="F4:F5"/>
    <mergeCell ref="G4:G5"/>
    <mergeCell ref="AN1:AS2"/>
    <mergeCell ref="AB3:AC3"/>
    <mergeCell ref="AD3:AD5"/>
    <mergeCell ref="AE3:AE5"/>
    <mergeCell ref="AF3:AF5"/>
    <mergeCell ref="AH3:AH5"/>
    <mergeCell ref="AI3:AJ3"/>
    <mergeCell ref="AK3:AK5"/>
    <mergeCell ref="AL3:AL5"/>
    <mergeCell ref="AM3:AM5"/>
    <mergeCell ref="AN3:AN5"/>
    <mergeCell ref="AO3:AP3"/>
    <mergeCell ref="AQ3:AQ5"/>
    <mergeCell ref="AR3:AR5"/>
    <mergeCell ref="AS3:AS5"/>
    <mergeCell ref="AB4:AB5"/>
    <mergeCell ref="E1:J2"/>
    <mergeCell ref="L1:Q2"/>
    <mergeCell ref="R1:W2"/>
    <mergeCell ref="AA1:AF2"/>
    <mergeCell ref="AH1:AM2"/>
    <mergeCell ref="AG1:AG2"/>
    <mergeCell ref="AI4:AI5"/>
    <mergeCell ref="AJ4:AJ5"/>
    <mergeCell ref="AO4:AO5"/>
    <mergeCell ref="AP4:AP5"/>
    <mergeCell ref="Q3:Q5"/>
    <mergeCell ref="AC4:AC5"/>
    <mergeCell ref="U3:U5"/>
    <mergeCell ref="V3:V5"/>
    <mergeCell ref="W3:W5"/>
    <mergeCell ref="AA3:AA5"/>
    <mergeCell ref="AG3:AG5"/>
  </mergeCells>
  <printOptions horizontalCentered="1" verticalCentered="1"/>
  <pageMargins left="0.59055118110236227" right="0.51181102362204722" top="0.39370078740157483" bottom="0.19685039370078741" header="0.39370078740157483" footer="0.19685039370078741"/>
  <pageSetup paperSize="9" scale="55" pageOrder="overThenDown" orientation="landscape" r:id="rId1"/>
  <headerFooter alignWithMargins="0">
    <oddHeader>&amp;C&amp;"Arial CE,tučné"Přehled o vývoji počtu zaměstnanců a objemech mezd od roku  1 9 9 3
za   R O P O  c e l k e m
&amp;R&amp;A   -   &amp;F</oddHeader>
    <oddFooter>&amp;C6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U58"/>
  <sheetViews>
    <sheetView zoomScale="90" zoomScaleNormal="90" workbookViewId="0">
      <pane xSplit="3" ySplit="5" topLeftCell="N1048498" activePane="bottomRight" state="frozen"/>
      <selection activeCell="HM1" sqref="HM1:HN2"/>
      <selection pane="topRight" activeCell="HM1" sqref="HM1:HN2"/>
      <selection pane="bottomLeft" activeCell="HM1" sqref="HM1:HN2"/>
      <selection pane="bottomRight" activeCell="X1" sqref="X1:Y1048576"/>
    </sheetView>
  </sheetViews>
  <sheetFormatPr baseColWidth="10" defaultColWidth="11.5" defaultRowHeight="13"/>
  <cols>
    <col min="1" max="1" width="9.33203125" style="6" customWidth="1"/>
    <col min="2" max="2" width="11.6640625" style="6" customWidth="1"/>
    <col min="3" max="3" width="37.33203125" style="13" bestFit="1" customWidth="1"/>
    <col min="4" max="4" width="3.6640625" style="13" customWidth="1"/>
    <col min="5" max="5" width="15.83203125" style="6" customWidth="1"/>
    <col min="6" max="6" width="16.5" style="172" customWidth="1"/>
    <col min="7" max="7" width="15" style="172" customWidth="1"/>
    <col min="8" max="8" width="12.83203125" style="172" customWidth="1"/>
    <col min="9" max="10" width="11.5" style="6" customWidth="1"/>
    <col min="11" max="11" width="11.5" style="6"/>
    <col min="12" max="12" width="14.6640625" style="6" customWidth="1"/>
    <col min="13" max="13" width="14.33203125" style="6" customWidth="1"/>
    <col min="14" max="14" width="15" style="6" customWidth="1"/>
    <col min="15" max="15" width="13.33203125" style="6" customWidth="1"/>
    <col min="16" max="17" width="9.1640625" style="6" customWidth="1"/>
    <col min="18" max="18" width="16.83203125" style="6" customWidth="1"/>
    <col min="19" max="19" width="14.33203125" style="6" customWidth="1"/>
    <col min="20" max="20" width="22.5" style="6" bestFit="1" customWidth="1"/>
    <col min="21" max="21" width="12.6640625" style="6" customWidth="1"/>
    <col min="22" max="23" width="9.1640625" style="6" customWidth="1"/>
    <col min="26" max="26" width="9.1640625" customWidth="1"/>
    <col min="27" max="27" width="16.5" style="6" customWidth="1"/>
    <col min="28" max="28" width="13.6640625" style="6" customWidth="1"/>
    <col min="29" max="29" width="15.6640625" style="6" customWidth="1"/>
    <col min="30" max="33" width="11.5" style="6"/>
    <col min="34" max="34" width="15.5" style="6" customWidth="1"/>
    <col min="35" max="35" width="14.5" style="6" customWidth="1"/>
    <col min="36" max="36" width="15.5" style="6" customWidth="1"/>
    <col min="37" max="39" width="11.5" style="6"/>
    <col min="40" max="40" width="16.6640625" style="6" customWidth="1"/>
    <col min="41" max="41" width="14.1640625" style="6" customWidth="1"/>
    <col min="42" max="42" width="19.33203125" style="6" customWidth="1"/>
    <col min="43" max="45" width="11.5" style="6"/>
  </cols>
  <sheetData>
    <row r="1" spans="1:47" ht="14" customHeight="1" thickTop="1">
      <c r="A1" s="323" t="s">
        <v>131</v>
      </c>
      <c r="B1" s="348" t="s">
        <v>132</v>
      </c>
      <c r="C1" s="411" t="s">
        <v>165</v>
      </c>
      <c r="D1" s="54"/>
      <c r="E1" s="310" t="s">
        <v>223</v>
      </c>
      <c r="F1" s="311"/>
      <c r="G1" s="311"/>
      <c r="H1" s="311"/>
      <c r="I1" s="311"/>
      <c r="J1" s="312"/>
      <c r="K1" s="370" t="s">
        <v>162</v>
      </c>
      <c r="L1" s="310" t="s">
        <v>221</v>
      </c>
      <c r="M1" s="311"/>
      <c r="N1" s="311"/>
      <c r="O1" s="311"/>
      <c r="P1" s="311"/>
      <c r="Q1" s="312"/>
      <c r="R1" s="310" t="s">
        <v>222</v>
      </c>
      <c r="S1" s="311"/>
      <c r="T1" s="311"/>
      <c r="U1" s="311"/>
      <c r="V1" s="311"/>
      <c r="W1" s="312"/>
      <c r="X1" s="372" t="s">
        <v>162</v>
      </c>
      <c r="Y1" s="373"/>
      <c r="AA1" s="310" t="s">
        <v>229</v>
      </c>
      <c r="AB1" s="311"/>
      <c r="AC1" s="311"/>
      <c r="AD1" s="311"/>
      <c r="AE1" s="311"/>
      <c r="AF1" s="312"/>
      <c r="AG1" s="370" t="s">
        <v>162</v>
      </c>
      <c r="AH1" s="310" t="s">
        <v>225</v>
      </c>
      <c r="AI1" s="311"/>
      <c r="AJ1" s="311"/>
      <c r="AK1" s="311"/>
      <c r="AL1" s="311"/>
      <c r="AM1" s="312"/>
      <c r="AN1" s="310" t="s">
        <v>226</v>
      </c>
      <c r="AO1" s="311"/>
      <c r="AP1" s="311"/>
      <c r="AQ1" s="311"/>
      <c r="AR1" s="311"/>
      <c r="AS1" s="312"/>
      <c r="AT1" s="372" t="s">
        <v>162</v>
      </c>
      <c r="AU1" s="373"/>
    </row>
    <row r="2" spans="1:47" ht="26.25" customHeight="1" thickBot="1">
      <c r="A2" s="324"/>
      <c r="B2" s="349"/>
      <c r="C2" s="412"/>
      <c r="D2" s="55"/>
      <c r="E2" s="313"/>
      <c r="F2" s="314"/>
      <c r="G2" s="314"/>
      <c r="H2" s="314"/>
      <c r="I2" s="314"/>
      <c r="J2" s="315"/>
      <c r="K2" s="371"/>
      <c r="L2" s="313"/>
      <c r="M2" s="314"/>
      <c r="N2" s="314"/>
      <c r="O2" s="314"/>
      <c r="P2" s="314"/>
      <c r="Q2" s="315"/>
      <c r="R2" s="313"/>
      <c r="S2" s="314"/>
      <c r="T2" s="314"/>
      <c r="U2" s="314"/>
      <c r="V2" s="314"/>
      <c r="W2" s="315"/>
      <c r="X2" s="374"/>
      <c r="Y2" s="375"/>
      <c r="AA2" s="313"/>
      <c r="AB2" s="314"/>
      <c r="AC2" s="314"/>
      <c r="AD2" s="314"/>
      <c r="AE2" s="314"/>
      <c r="AF2" s="315"/>
      <c r="AG2" s="371"/>
      <c r="AH2" s="313"/>
      <c r="AI2" s="314"/>
      <c r="AJ2" s="314"/>
      <c r="AK2" s="314"/>
      <c r="AL2" s="314"/>
      <c r="AM2" s="315"/>
      <c r="AN2" s="313"/>
      <c r="AO2" s="314"/>
      <c r="AP2" s="314"/>
      <c r="AQ2" s="314"/>
      <c r="AR2" s="314"/>
      <c r="AS2" s="315"/>
      <c r="AT2" s="374"/>
      <c r="AU2" s="375"/>
    </row>
    <row r="3" spans="1:47" ht="14" customHeight="1" thickBot="1">
      <c r="A3" s="324"/>
      <c r="B3" s="349"/>
      <c r="C3" s="412"/>
      <c r="D3" s="56"/>
      <c r="E3" s="392" t="s">
        <v>181</v>
      </c>
      <c r="F3" s="385" t="s">
        <v>1</v>
      </c>
      <c r="G3" s="386"/>
      <c r="H3" s="387" t="s">
        <v>134</v>
      </c>
      <c r="I3" s="387" t="s">
        <v>183</v>
      </c>
      <c r="J3" s="404" t="s">
        <v>135</v>
      </c>
      <c r="K3" s="382" t="s">
        <v>149</v>
      </c>
      <c r="L3" s="392" t="s">
        <v>181</v>
      </c>
      <c r="M3" s="385" t="s">
        <v>1</v>
      </c>
      <c r="N3" s="386"/>
      <c r="O3" s="387" t="s">
        <v>134</v>
      </c>
      <c r="P3" s="387" t="s">
        <v>183</v>
      </c>
      <c r="Q3" s="404" t="s">
        <v>135</v>
      </c>
      <c r="R3" s="337" t="s">
        <v>181</v>
      </c>
      <c r="S3" s="340" t="s">
        <v>1</v>
      </c>
      <c r="T3" s="341"/>
      <c r="U3" s="329" t="s">
        <v>134</v>
      </c>
      <c r="V3" s="329" t="s">
        <v>183</v>
      </c>
      <c r="W3" s="404" t="s">
        <v>135</v>
      </c>
      <c r="X3" s="376" t="s">
        <v>150</v>
      </c>
      <c r="Y3" s="379" t="s">
        <v>151</v>
      </c>
      <c r="AA3" s="392" t="s">
        <v>181</v>
      </c>
      <c r="AB3" s="385" t="s">
        <v>1</v>
      </c>
      <c r="AC3" s="386"/>
      <c r="AD3" s="387" t="s">
        <v>134</v>
      </c>
      <c r="AE3" s="387" t="s">
        <v>183</v>
      </c>
      <c r="AF3" s="404" t="s">
        <v>135</v>
      </c>
      <c r="AG3" s="382" t="s">
        <v>149</v>
      </c>
      <c r="AH3" s="392" t="s">
        <v>181</v>
      </c>
      <c r="AI3" s="385" t="s">
        <v>1</v>
      </c>
      <c r="AJ3" s="386"/>
      <c r="AK3" s="387" t="s">
        <v>134</v>
      </c>
      <c r="AL3" s="387" t="s">
        <v>183</v>
      </c>
      <c r="AM3" s="404" t="s">
        <v>135</v>
      </c>
      <c r="AN3" s="337" t="s">
        <v>181</v>
      </c>
      <c r="AO3" s="340" t="s">
        <v>1</v>
      </c>
      <c r="AP3" s="341"/>
      <c r="AQ3" s="329" t="s">
        <v>134</v>
      </c>
      <c r="AR3" s="329" t="s">
        <v>183</v>
      </c>
      <c r="AS3" s="404" t="s">
        <v>135</v>
      </c>
      <c r="AT3" s="376" t="s">
        <v>150</v>
      </c>
      <c r="AU3" s="379" t="s">
        <v>151</v>
      </c>
    </row>
    <row r="4" spans="1:47" ht="12.75" customHeight="1">
      <c r="A4" s="324"/>
      <c r="B4" s="349"/>
      <c r="C4" s="412"/>
      <c r="D4" s="57"/>
      <c r="E4" s="393"/>
      <c r="F4" s="390" t="s">
        <v>182</v>
      </c>
      <c r="G4" s="387" t="s">
        <v>133</v>
      </c>
      <c r="H4" s="388"/>
      <c r="I4" s="388"/>
      <c r="J4" s="401"/>
      <c r="K4" s="383"/>
      <c r="L4" s="393"/>
      <c r="M4" s="390" t="s">
        <v>182</v>
      </c>
      <c r="N4" s="387" t="s">
        <v>133</v>
      </c>
      <c r="O4" s="388"/>
      <c r="P4" s="388"/>
      <c r="Q4" s="401"/>
      <c r="R4" s="338"/>
      <c r="S4" s="335" t="s">
        <v>182</v>
      </c>
      <c r="T4" s="329" t="s">
        <v>133</v>
      </c>
      <c r="U4" s="330"/>
      <c r="V4" s="330"/>
      <c r="W4" s="401"/>
      <c r="X4" s="377"/>
      <c r="Y4" s="380"/>
      <c r="AA4" s="393"/>
      <c r="AB4" s="390" t="s">
        <v>182</v>
      </c>
      <c r="AC4" s="387" t="s">
        <v>133</v>
      </c>
      <c r="AD4" s="388"/>
      <c r="AE4" s="388"/>
      <c r="AF4" s="401"/>
      <c r="AG4" s="383"/>
      <c r="AH4" s="393"/>
      <c r="AI4" s="390" t="s">
        <v>182</v>
      </c>
      <c r="AJ4" s="387" t="s">
        <v>133</v>
      </c>
      <c r="AK4" s="388"/>
      <c r="AL4" s="388"/>
      <c r="AM4" s="401"/>
      <c r="AN4" s="338"/>
      <c r="AO4" s="335" t="s">
        <v>182</v>
      </c>
      <c r="AP4" s="329" t="s">
        <v>133</v>
      </c>
      <c r="AQ4" s="330"/>
      <c r="AR4" s="330"/>
      <c r="AS4" s="401"/>
      <c r="AT4" s="377"/>
      <c r="AU4" s="380"/>
    </row>
    <row r="5" spans="1:47" ht="33.75" customHeight="1" thickBot="1">
      <c r="A5" s="324"/>
      <c r="B5" s="349"/>
      <c r="C5" s="413"/>
      <c r="D5" s="56"/>
      <c r="E5" s="394"/>
      <c r="F5" s="391"/>
      <c r="G5" s="389"/>
      <c r="H5" s="389"/>
      <c r="I5" s="389"/>
      <c r="J5" s="420"/>
      <c r="K5" s="384"/>
      <c r="L5" s="394"/>
      <c r="M5" s="391"/>
      <c r="N5" s="389"/>
      <c r="O5" s="389"/>
      <c r="P5" s="389"/>
      <c r="Q5" s="420"/>
      <c r="R5" s="339"/>
      <c r="S5" s="336"/>
      <c r="T5" s="331"/>
      <c r="U5" s="331"/>
      <c r="V5" s="331"/>
      <c r="W5" s="420"/>
      <c r="X5" s="378"/>
      <c r="Y5" s="381"/>
      <c r="AA5" s="394"/>
      <c r="AB5" s="391"/>
      <c r="AC5" s="389"/>
      <c r="AD5" s="389"/>
      <c r="AE5" s="389"/>
      <c r="AF5" s="420"/>
      <c r="AG5" s="384"/>
      <c r="AH5" s="394"/>
      <c r="AI5" s="391"/>
      <c r="AJ5" s="389"/>
      <c r="AK5" s="389"/>
      <c r="AL5" s="389"/>
      <c r="AM5" s="420"/>
      <c r="AN5" s="339"/>
      <c r="AO5" s="336"/>
      <c r="AP5" s="331"/>
      <c r="AQ5" s="331"/>
      <c r="AR5" s="331"/>
      <c r="AS5" s="420"/>
      <c r="AT5" s="378"/>
      <c r="AU5" s="381"/>
    </row>
    <row r="6" spans="1:47" ht="18" customHeight="1">
      <c r="A6" s="421">
        <v>307</v>
      </c>
      <c r="B6" s="422" t="s">
        <v>13</v>
      </c>
      <c r="C6" s="253" t="s">
        <v>209</v>
      </c>
      <c r="D6" s="34"/>
      <c r="E6" s="75">
        <v>520977392</v>
      </c>
      <c r="F6" s="76">
        <v>10172425</v>
      </c>
      <c r="G6" s="76">
        <v>510804967</v>
      </c>
      <c r="H6" s="76">
        <v>834</v>
      </c>
      <c r="I6" s="76">
        <v>51040</v>
      </c>
      <c r="J6" s="77">
        <f>RANK(I6,I$6:I$25,0)</f>
        <v>6</v>
      </c>
      <c r="K6" s="432"/>
      <c r="L6" s="75">
        <v>530949622</v>
      </c>
      <c r="M6" s="76">
        <v>11027425</v>
      </c>
      <c r="N6" s="76">
        <v>519922197</v>
      </c>
      <c r="O6" s="76">
        <v>834</v>
      </c>
      <c r="P6" s="76">
        <v>51951</v>
      </c>
      <c r="Q6" s="77">
        <f>RANK(P6,P$6:P$25,0)</f>
        <v>6</v>
      </c>
      <c r="R6" s="75">
        <v>477641858</v>
      </c>
      <c r="S6" s="76">
        <v>23212160</v>
      </c>
      <c r="T6" s="76">
        <v>454429698</v>
      </c>
      <c r="U6" s="76">
        <v>731.65</v>
      </c>
      <c r="V6" s="76">
        <v>51759</v>
      </c>
      <c r="W6" s="77">
        <f>RANK(V6,V$6:V$25,0)</f>
        <v>8</v>
      </c>
      <c r="X6" s="37"/>
      <c r="Y6" s="38"/>
      <c r="AA6" s="75">
        <v>596228951</v>
      </c>
      <c r="AB6" s="76">
        <v>9172425</v>
      </c>
      <c r="AC6" s="76">
        <v>587056526</v>
      </c>
      <c r="AD6" s="76">
        <v>892</v>
      </c>
      <c r="AE6" s="76">
        <v>54845</v>
      </c>
      <c r="AF6" s="77">
        <f>RANK(AE6,AE$6:AE$25,0)</f>
        <v>6</v>
      </c>
      <c r="AG6" s="432"/>
      <c r="AH6" s="75">
        <v>553929161</v>
      </c>
      <c r="AI6" s="76">
        <v>9172425</v>
      </c>
      <c r="AJ6" s="76">
        <v>544756736</v>
      </c>
      <c r="AK6" s="76">
        <v>892</v>
      </c>
      <c r="AL6" s="76">
        <v>50893</v>
      </c>
      <c r="AM6" s="77">
        <f>RANK(AL6,AL$6:AL$25,0)</f>
        <v>8</v>
      </c>
      <c r="AN6" s="75">
        <v>516465790</v>
      </c>
      <c r="AO6" s="76">
        <v>16765960</v>
      </c>
      <c r="AP6" s="76">
        <v>499699830</v>
      </c>
      <c r="AQ6" s="76">
        <v>762.83</v>
      </c>
      <c r="AR6" s="76">
        <v>54588</v>
      </c>
      <c r="AS6" s="77">
        <f>RANK(AR6,AR$6:AR$25,0)</f>
        <v>13</v>
      </c>
      <c r="AT6" s="37"/>
      <c r="AU6" s="38"/>
    </row>
    <row r="7" spans="1:47" ht="18" customHeight="1">
      <c r="A7" s="422"/>
      <c r="B7" s="422"/>
      <c r="C7" s="284" t="s">
        <v>231</v>
      </c>
      <c r="D7" s="34"/>
      <c r="E7" s="75"/>
      <c r="F7" s="76"/>
      <c r="G7" s="285">
        <v>307396835</v>
      </c>
      <c r="H7" s="285">
        <v>459</v>
      </c>
      <c r="I7" s="285">
        <v>55809</v>
      </c>
      <c r="J7" s="77">
        <f t="shared" ref="J7:J25" si="0">RANK(I7,I$6:I$25,0)</f>
        <v>2</v>
      </c>
      <c r="K7" s="432"/>
      <c r="L7" s="145"/>
      <c r="M7" s="76"/>
      <c r="N7" s="285">
        <v>312487092</v>
      </c>
      <c r="O7" s="285">
        <v>459</v>
      </c>
      <c r="P7" s="285">
        <v>56733</v>
      </c>
      <c r="Q7" s="77">
        <f t="shared" ref="Q7:Q25" si="1">RANK(P7,P$6:P$25,0)</f>
        <v>2</v>
      </c>
      <c r="R7" s="75"/>
      <c r="S7" s="76"/>
      <c r="T7" s="285">
        <v>254398570</v>
      </c>
      <c r="U7" s="285">
        <v>385.7</v>
      </c>
      <c r="V7" s="285">
        <v>54965</v>
      </c>
      <c r="W7" s="77">
        <f t="shared" ref="W7:W25" si="2">RANK(V7,V$6:V$25,0)</f>
        <v>3</v>
      </c>
      <c r="X7" s="37"/>
      <c r="Y7" s="38"/>
      <c r="AA7" s="75"/>
      <c r="AB7" s="76"/>
      <c r="AC7" s="285">
        <v>368142251</v>
      </c>
      <c r="AD7" s="285">
        <v>515</v>
      </c>
      <c r="AE7" s="285">
        <v>59570</v>
      </c>
      <c r="AF7" s="77">
        <f t="shared" ref="AF7:AF25" si="3">RANK(AE7,AE$6:AE$25,0)</f>
        <v>2</v>
      </c>
      <c r="AG7" s="432"/>
      <c r="AH7" s="145"/>
      <c r="AI7" s="76"/>
      <c r="AJ7" s="285">
        <v>332952651</v>
      </c>
      <c r="AK7" s="285">
        <v>515</v>
      </c>
      <c r="AL7" s="285">
        <v>53876</v>
      </c>
      <c r="AM7" s="77">
        <f t="shared" ref="AM7:AM25" si="4">RANK(AL7,AL$6:AL$25,0)</f>
        <v>4</v>
      </c>
      <c r="AN7" s="75"/>
      <c r="AO7" s="76"/>
      <c r="AP7" s="285">
        <v>292161950</v>
      </c>
      <c r="AQ7" s="285">
        <v>411.56</v>
      </c>
      <c r="AR7" s="285">
        <v>59157</v>
      </c>
      <c r="AS7" s="77">
        <f t="shared" ref="AS7:AS25" si="5">RANK(AR7,AR$6:AR$25,0)</f>
        <v>4</v>
      </c>
      <c r="AT7" s="37"/>
      <c r="AU7" s="38"/>
    </row>
    <row r="8" spans="1:47" ht="18" customHeight="1" thickBot="1">
      <c r="A8" s="422"/>
      <c r="B8" s="431"/>
      <c r="C8" s="254" t="s">
        <v>210</v>
      </c>
      <c r="D8" s="34"/>
      <c r="E8" s="255">
        <f>E6</f>
        <v>520977392</v>
      </c>
      <c r="F8" s="256">
        <f t="shared" ref="F8:I8" si="6">F6</f>
        <v>10172425</v>
      </c>
      <c r="G8" s="256">
        <f t="shared" si="6"/>
        <v>510804967</v>
      </c>
      <c r="H8" s="256">
        <f t="shared" si="6"/>
        <v>834</v>
      </c>
      <c r="I8" s="256">
        <f t="shared" si="6"/>
        <v>51040</v>
      </c>
      <c r="J8" s="257">
        <f t="shared" si="0"/>
        <v>6</v>
      </c>
      <c r="K8" s="432"/>
      <c r="L8" s="255">
        <f>L6</f>
        <v>530949622</v>
      </c>
      <c r="M8" s="256">
        <f t="shared" ref="M8:P8" si="7">M6</f>
        <v>11027425</v>
      </c>
      <c r="N8" s="256">
        <f t="shared" si="7"/>
        <v>519922197</v>
      </c>
      <c r="O8" s="256">
        <f t="shared" si="7"/>
        <v>834</v>
      </c>
      <c r="P8" s="256">
        <f t="shared" si="7"/>
        <v>51951</v>
      </c>
      <c r="Q8" s="257">
        <f t="shared" si="1"/>
        <v>6</v>
      </c>
      <c r="R8" s="255">
        <f>R6</f>
        <v>477641858</v>
      </c>
      <c r="S8" s="256">
        <f t="shared" ref="S8:V8" si="8">S6</f>
        <v>23212160</v>
      </c>
      <c r="T8" s="256">
        <f t="shared" si="8"/>
        <v>454429698</v>
      </c>
      <c r="U8" s="256">
        <f t="shared" si="8"/>
        <v>731.65</v>
      </c>
      <c r="V8" s="256">
        <f t="shared" si="8"/>
        <v>51759</v>
      </c>
      <c r="W8" s="257">
        <f t="shared" si="2"/>
        <v>8</v>
      </c>
      <c r="X8" s="37"/>
      <c r="Y8" s="38"/>
      <c r="AA8" s="255">
        <f>AA6</f>
        <v>596228951</v>
      </c>
      <c r="AB8" s="256">
        <f t="shared" ref="AB8:AE8" si="9">AB6</f>
        <v>9172425</v>
      </c>
      <c r="AC8" s="256">
        <f t="shared" si="9"/>
        <v>587056526</v>
      </c>
      <c r="AD8" s="256">
        <f t="shared" si="9"/>
        <v>892</v>
      </c>
      <c r="AE8" s="256">
        <f t="shared" si="9"/>
        <v>54845</v>
      </c>
      <c r="AF8" s="257">
        <f t="shared" si="3"/>
        <v>6</v>
      </c>
      <c r="AG8" s="432"/>
      <c r="AH8" s="255">
        <f>AH6</f>
        <v>553929161</v>
      </c>
      <c r="AI8" s="256">
        <f t="shared" ref="AI8:AL8" si="10">AI6</f>
        <v>9172425</v>
      </c>
      <c r="AJ8" s="256">
        <f t="shared" si="10"/>
        <v>544756736</v>
      </c>
      <c r="AK8" s="256">
        <f t="shared" si="10"/>
        <v>892</v>
      </c>
      <c r="AL8" s="256">
        <f t="shared" si="10"/>
        <v>50893</v>
      </c>
      <c r="AM8" s="257">
        <f t="shared" si="4"/>
        <v>8</v>
      </c>
      <c r="AN8" s="255">
        <f>AN6</f>
        <v>516465790</v>
      </c>
      <c r="AO8" s="256">
        <f t="shared" ref="AO8:AR8" si="11">AO6</f>
        <v>16765960</v>
      </c>
      <c r="AP8" s="256">
        <f t="shared" si="11"/>
        <v>499699830</v>
      </c>
      <c r="AQ8" s="256">
        <f t="shared" si="11"/>
        <v>762.83</v>
      </c>
      <c r="AR8" s="256">
        <f t="shared" si="11"/>
        <v>54588</v>
      </c>
      <c r="AS8" s="257">
        <f t="shared" si="5"/>
        <v>13</v>
      </c>
      <c r="AT8" s="37"/>
      <c r="AU8" s="38"/>
    </row>
    <row r="9" spans="1:47" ht="18" customHeight="1">
      <c r="A9" s="421">
        <v>312</v>
      </c>
      <c r="B9" s="422" t="s">
        <v>15</v>
      </c>
      <c r="C9" s="258" t="s">
        <v>211</v>
      </c>
      <c r="D9" s="34"/>
      <c r="E9" s="75">
        <v>3279833656</v>
      </c>
      <c r="F9" s="76">
        <v>9009352</v>
      </c>
      <c r="G9" s="76">
        <v>3270824304</v>
      </c>
      <c r="H9" s="76">
        <v>5624</v>
      </c>
      <c r="I9" s="76">
        <v>48465</v>
      </c>
      <c r="J9" s="77">
        <f t="shared" si="0"/>
        <v>9</v>
      </c>
      <c r="K9" s="432"/>
      <c r="L9" s="75">
        <v>3280364243</v>
      </c>
      <c r="M9" s="76">
        <v>9539939</v>
      </c>
      <c r="N9" s="76">
        <v>3270824304</v>
      </c>
      <c r="O9" s="76">
        <v>5624</v>
      </c>
      <c r="P9" s="76">
        <v>48465</v>
      </c>
      <c r="Q9" s="77">
        <f t="shared" si="1"/>
        <v>10</v>
      </c>
      <c r="R9" s="75">
        <v>3150516717</v>
      </c>
      <c r="S9" s="76">
        <v>8359978</v>
      </c>
      <c r="T9" s="76">
        <v>3142156739</v>
      </c>
      <c r="U9" s="76">
        <v>5092.1000000000004</v>
      </c>
      <c r="V9" s="76">
        <v>51422</v>
      </c>
      <c r="W9" s="77">
        <f t="shared" si="2"/>
        <v>10</v>
      </c>
      <c r="X9" s="37"/>
      <c r="Y9" s="38"/>
      <c r="AA9" s="75">
        <v>3412902573</v>
      </c>
      <c r="AB9" s="76">
        <v>9009352</v>
      </c>
      <c r="AC9" s="76">
        <v>3403893221</v>
      </c>
      <c r="AD9" s="76">
        <v>5474</v>
      </c>
      <c r="AE9" s="76">
        <v>51819</v>
      </c>
      <c r="AF9" s="77">
        <f t="shared" si="3"/>
        <v>9</v>
      </c>
      <c r="AG9" s="432"/>
      <c r="AH9" s="75">
        <v>3298279523</v>
      </c>
      <c r="AI9" s="76">
        <v>11328976</v>
      </c>
      <c r="AJ9" s="76">
        <v>3286950547</v>
      </c>
      <c r="AK9" s="76">
        <v>5483</v>
      </c>
      <c r="AL9" s="76">
        <v>49957</v>
      </c>
      <c r="AM9" s="77">
        <f t="shared" si="4"/>
        <v>12</v>
      </c>
      <c r="AN9" s="75">
        <v>3253475496.2399998</v>
      </c>
      <c r="AO9" s="76">
        <v>10889398</v>
      </c>
      <c r="AP9" s="76">
        <v>3242586098.2399998</v>
      </c>
      <c r="AQ9" s="76">
        <v>4872.75</v>
      </c>
      <c r="AR9" s="76">
        <v>55454</v>
      </c>
      <c r="AS9" s="77">
        <f t="shared" si="5"/>
        <v>10</v>
      </c>
      <c r="AT9" s="37"/>
      <c r="AU9" s="38"/>
    </row>
    <row r="10" spans="1:47" ht="18" customHeight="1">
      <c r="A10" s="422"/>
      <c r="B10" s="422"/>
      <c r="C10" s="284" t="s">
        <v>230</v>
      </c>
      <c r="D10" s="34"/>
      <c r="E10" s="75"/>
      <c r="F10" s="76"/>
      <c r="G10" s="285">
        <v>2644898827</v>
      </c>
      <c r="H10" s="285">
        <v>4150</v>
      </c>
      <c r="I10" s="285">
        <v>53110</v>
      </c>
      <c r="J10" s="77">
        <f t="shared" si="0"/>
        <v>4</v>
      </c>
      <c r="K10" s="432"/>
      <c r="L10" s="75"/>
      <c r="M10" s="76"/>
      <c r="N10" s="285">
        <v>2613898827</v>
      </c>
      <c r="O10" s="285">
        <v>4150</v>
      </c>
      <c r="P10" s="285">
        <v>52488</v>
      </c>
      <c r="Q10" s="77">
        <f t="shared" si="1"/>
        <v>5</v>
      </c>
      <c r="R10" s="75"/>
      <c r="S10" s="76"/>
      <c r="T10" s="285">
        <v>2480992945</v>
      </c>
      <c r="U10" s="285">
        <v>3687.81</v>
      </c>
      <c r="V10" s="285">
        <v>56063</v>
      </c>
      <c r="W10" s="77">
        <f t="shared" si="2"/>
        <v>2</v>
      </c>
      <c r="X10" s="37"/>
      <c r="Y10" s="38"/>
      <c r="AA10" s="75"/>
      <c r="AB10" s="76"/>
      <c r="AC10" s="285">
        <v>2726954818</v>
      </c>
      <c r="AD10" s="285">
        <v>4000</v>
      </c>
      <c r="AE10" s="285">
        <v>56812</v>
      </c>
      <c r="AF10" s="77">
        <f t="shared" si="3"/>
        <v>4</v>
      </c>
      <c r="AG10" s="432"/>
      <c r="AH10" s="75"/>
      <c r="AI10" s="76"/>
      <c r="AJ10" s="285">
        <v>2564220528</v>
      </c>
      <c r="AK10" s="285">
        <v>4010</v>
      </c>
      <c r="AL10" s="285">
        <v>53288</v>
      </c>
      <c r="AM10" s="77">
        <f t="shared" si="4"/>
        <v>5</v>
      </c>
      <c r="AN10" s="75"/>
      <c r="AO10" s="76"/>
      <c r="AP10" s="285">
        <v>2505282010</v>
      </c>
      <c r="AQ10" s="285">
        <v>3468.45</v>
      </c>
      <c r="AR10" s="285">
        <v>60192</v>
      </c>
      <c r="AS10" s="77">
        <f t="shared" si="5"/>
        <v>2</v>
      </c>
      <c r="AT10" s="37"/>
      <c r="AU10" s="38"/>
    </row>
    <row r="11" spans="1:47" ht="18" customHeight="1" thickBot="1">
      <c r="A11" s="422"/>
      <c r="B11" s="431"/>
      <c r="C11" s="254" t="s">
        <v>210</v>
      </c>
      <c r="D11" s="34"/>
      <c r="E11" s="255">
        <f>E9</f>
        <v>3279833656</v>
      </c>
      <c r="F11" s="256">
        <f t="shared" ref="F11:I11" si="12">F9</f>
        <v>9009352</v>
      </c>
      <c r="G11" s="256">
        <f t="shared" si="12"/>
        <v>3270824304</v>
      </c>
      <c r="H11" s="256">
        <f t="shared" si="12"/>
        <v>5624</v>
      </c>
      <c r="I11" s="256">
        <f t="shared" si="12"/>
        <v>48465</v>
      </c>
      <c r="J11" s="257">
        <f t="shared" si="0"/>
        <v>9</v>
      </c>
      <c r="K11" s="432"/>
      <c r="L11" s="255">
        <f>L9</f>
        <v>3280364243</v>
      </c>
      <c r="M11" s="256">
        <f t="shared" ref="M11:P11" si="13">M9</f>
        <v>9539939</v>
      </c>
      <c r="N11" s="256">
        <f t="shared" si="13"/>
        <v>3270824304</v>
      </c>
      <c r="O11" s="256">
        <f t="shared" si="13"/>
        <v>5624</v>
      </c>
      <c r="P11" s="256">
        <f t="shared" si="13"/>
        <v>48465</v>
      </c>
      <c r="Q11" s="257">
        <f t="shared" si="1"/>
        <v>10</v>
      </c>
      <c r="R11" s="255">
        <f>R9</f>
        <v>3150516717</v>
      </c>
      <c r="S11" s="256">
        <f t="shared" ref="S11:V11" si="14">S9</f>
        <v>8359978</v>
      </c>
      <c r="T11" s="256">
        <f t="shared" si="14"/>
        <v>3142156739</v>
      </c>
      <c r="U11" s="256">
        <f t="shared" si="14"/>
        <v>5092.1000000000004</v>
      </c>
      <c r="V11" s="256">
        <f t="shared" si="14"/>
        <v>51422</v>
      </c>
      <c r="W11" s="257">
        <f t="shared" si="2"/>
        <v>10</v>
      </c>
      <c r="X11" s="37"/>
      <c r="Y11" s="38"/>
      <c r="AA11" s="255">
        <f>AA9</f>
        <v>3412902573</v>
      </c>
      <c r="AB11" s="256">
        <f t="shared" ref="AB11:AE11" si="15">AB9</f>
        <v>9009352</v>
      </c>
      <c r="AC11" s="256">
        <f t="shared" si="15"/>
        <v>3403893221</v>
      </c>
      <c r="AD11" s="256">
        <f t="shared" si="15"/>
        <v>5474</v>
      </c>
      <c r="AE11" s="256">
        <f t="shared" si="15"/>
        <v>51819</v>
      </c>
      <c r="AF11" s="257">
        <f t="shared" si="3"/>
        <v>9</v>
      </c>
      <c r="AG11" s="432"/>
      <c r="AH11" s="255">
        <f>AH9</f>
        <v>3298279523</v>
      </c>
      <c r="AI11" s="256">
        <f t="shared" ref="AI11:AL11" si="16">AI9</f>
        <v>11328976</v>
      </c>
      <c r="AJ11" s="256">
        <f t="shared" si="16"/>
        <v>3286950547</v>
      </c>
      <c r="AK11" s="256">
        <f t="shared" si="16"/>
        <v>5483</v>
      </c>
      <c r="AL11" s="256">
        <f t="shared" si="16"/>
        <v>49957</v>
      </c>
      <c r="AM11" s="257">
        <f t="shared" si="4"/>
        <v>12</v>
      </c>
      <c r="AN11" s="255">
        <f>AN9</f>
        <v>3253475496.2399998</v>
      </c>
      <c r="AO11" s="256">
        <f t="shared" ref="AO11:AR11" si="17">AO9</f>
        <v>10889398</v>
      </c>
      <c r="AP11" s="256">
        <f t="shared" si="17"/>
        <v>3242586098.2399998</v>
      </c>
      <c r="AQ11" s="256">
        <f t="shared" si="17"/>
        <v>4872.75</v>
      </c>
      <c r="AR11" s="256">
        <f t="shared" si="17"/>
        <v>55454</v>
      </c>
      <c r="AS11" s="257">
        <f t="shared" si="5"/>
        <v>10</v>
      </c>
      <c r="AT11" s="37"/>
      <c r="AU11" s="38"/>
    </row>
    <row r="12" spans="1:47" ht="18" customHeight="1">
      <c r="A12" s="421">
        <v>314</v>
      </c>
      <c r="B12" s="421" t="s">
        <v>19</v>
      </c>
      <c r="C12" s="258" t="s">
        <v>212</v>
      </c>
      <c r="D12" s="34"/>
      <c r="E12" s="75">
        <v>24540434452</v>
      </c>
      <c r="F12" s="76">
        <v>98438833</v>
      </c>
      <c r="G12" s="76">
        <v>24441995619</v>
      </c>
      <c r="H12" s="76">
        <v>44861</v>
      </c>
      <c r="I12" s="76">
        <v>45403</v>
      </c>
      <c r="J12" s="77">
        <f t="shared" si="0"/>
        <v>13</v>
      </c>
      <c r="K12" s="432"/>
      <c r="L12" s="75">
        <v>24967058277</v>
      </c>
      <c r="M12" s="76">
        <v>177275151</v>
      </c>
      <c r="N12" s="76">
        <v>24789783126</v>
      </c>
      <c r="O12" s="76">
        <v>44861</v>
      </c>
      <c r="P12" s="76">
        <v>46049</v>
      </c>
      <c r="Q12" s="77">
        <f t="shared" si="1"/>
        <v>14</v>
      </c>
      <c r="R12" s="75">
        <v>25151809085.799995</v>
      </c>
      <c r="S12" s="76">
        <v>209942804</v>
      </c>
      <c r="T12" s="76">
        <v>24941866281.799995</v>
      </c>
      <c r="U12" s="76">
        <v>41271.329999999994</v>
      </c>
      <c r="V12" s="76">
        <v>50362</v>
      </c>
      <c r="W12" s="77">
        <f t="shared" si="2"/>
        <v>15</v>
      </c>
      <c r="X12" s="37"/>
      <c r="Y12" s="38"/>
      <c r="AA12" s="75">
        <v>26367569832</v>
      </c>
      <c r="AB12" s="76">
        <v>98558833</v>
      </c>
      <c r="AC12" s="76">
        <v>26269010999</v>
      </c>
      <c r="AD12" s="76">
        <v>44861</v>
      </c>
      <c r="AE12" s="76">
        <v>48797</v>
      </c>
      <c r="AF12" s="77">
        <f t="shared" si="3"/>
        <v>14</v>
      </c>
      <c r="AG12" s="432"/>
      <c r="AH12" s="75">
        <v>27048392037</v>
      </c>
      <c r="AI12" s="76">
        <v>184658833</v>
      </c>
      <c r="AJ12" s="76">
        <v>26863733204</v>
      </c>
      <c r="AK12" s="76">
        <v>45774</v>
      </c>
      <c r="AL12" s="76">
        <v>48906</v>
      </c>
      <c r="AM12" s="77">
        <f t="shared" si="4"/>
        <v>16</v>
      </c>
      <c r="AN12" s="75">
        <v>26976618986.810001</v>
      </c>
      <c r="AO12" s="76">
        <v>274546619.76999998</v>
      </c>
      <c r="AP12" s="76">
        <v>26702072367.040001</v>
      </c>
      <c r="AQ12" s="76">
        <v>41290.300000000003</v>
      </c>
      <c r="AR12" s="76">
        <v>53891</v>
      </c>
      <c r="AS12" s="77">
        <f t="shared" si="5"/>
        <v>15</v>
      </c>
      <c r="AT12" s="37"/>
      <c r="AU12" s="38"/>
    </row>
    <row r="13" spans="1:47" ht="18" customHeight="1">
      <c r="A13" s="422"/>
      <c r="B13" s="425"/>
      <c r="C13" s="284" t="s">
        <v>230</v>
      </c>
      <c r="D13" s="269"/>
      <c r="E13" s="75"/>
      <c r="F13" s="76"/>
      <c r="G13" s="285">
        <v>21754474187</v>
      </c>
      <c r="H13" s="285">
        <v>37434</v>
      </c>
      <c r="I13" s="285">
        <v>48429</v>
      </c>
      <c r="J13" s="77">
        <f t="shared" si="0"/>
        <v>11</v>
      </c>
      <c r="K13" s="432"/>
      <c r="L13" s="75"/>
      <c r="M13" s="76"/>
      <c r="N13" s="285">
        <v>21938189309</v>
      </c>
      <c r="O13" s="285">
        <v>37434</v>
      </c>
      <c r="P13" s="285">
        <v>48837</v>
      </c>
      <c r="Q13" s="77">
        <f t="shared" si="1"/>
        <v>9</v>
      </c>
      <c r="R13" s="75"/>
      <c r="S13" s="76"/>
      <c r="T13" s="285">
        <v>22095018144.879997</v>
      </c>
      <c r="U13" s="285">
        <v>34041.449999999997</v>
      </c>
      <c r="V13" s="285">
        <v>54089</v>
      </c>
      <c r="W13" s="77">
        <f t="shared" si="2"/>
        <v>6</v>
      </c>
      <c r="X13" s="37"/>
      <c r="Y13" s="38"/>
      <c r="AA13" s="75"/>
      <c r="AB13" s="76"/>
      <c r="AC13" s="285">
        <v>23255532906</v>
      </c>
      <c r="AD13" s="285">
        <v>37434</v>
      </c>
      <c r="AE13" s="285">
        <v>51770</v>
      </c>
      <c r="AF13" s="77">
        <f t="shared" si="3"/>
        <v>11</v>
      </c>
      <c r="AG13" s="432"/>
      <c r="AH13" s="75"/>
      <c r="AI13" s="76"/>
      <c r="AJ13" s="285">
        <v>23793679615</v>
      </c>
      <c r="AK13" s="285">
        <v>38347</v>
      </c>
      <c r="AL13" s="285">
        <v>51707</v>
      </c>
      <c r="AM13" s="77">
        <f t="shared" si="4"/>
        <v>7</v>
      </c>
      <c r="AN13" s="75"/>
      <c r="AO13" s="76"/>
      <c r="AP13" s="300">
        <v>23645673807.440002</v>
      </c>
      <c r="AQ13" s="300">
        <v>34041.350000000006</v>
      </c>
      <c r="AR13" s="285">
        <v>57885</v>
      </c>
      <c r="AS13" s="77">
        <f t="shared" si="5"/>
        <v>7</v>
      </c>
      <c r="AT13" s="37"/>
      <c r="AU13" s="38"/>
    </row>
    <row r="14" spans="1:47" ht="18" customHeight="1">
      <c r="A14" s="422"/>
      <c r="B14" s="422"/>
      <c r="C14" s="258" t="s">
        <v>213</v>
      </c>
      <c r="D14" s="34"/>
      <c r="E14" s="75">
        <v>7075990136</v>
      </c>
      <c r="F14" s="76">
        <v>59596335</v>
      </c>
      <c r="G14" s="76">
        <v>7016393801</v>
      </c>
      <c r="H14" s="76">
        <v>11120</v>
      </c>
      <c r="I14" s="76">
        <v>52581</v>
      </c>
      <c r="J14" s="77">
        <f t="shared" si="0"/>
        <v>5</v>
      </c>
      <c r="K14" s="432"/>
      <c r="L14" s="75">
        <v>7199814917</v>
      </c>
      <c r="M14" s="76">
        <v>94245915</v>
      </c>
      <c r="N14" s="76">
        <v>7105569002</v>
      </c>
      <c r="O14" s="76">
        <v>11190</v>
      </c>
      <c r="P14" s="76">
        <v>52916</v>
      </c>
      <c r="Q14" s="77">
        <f t="shared" si="1"/>
        <v>4</v>
      </c>
      <c r="R14" s="75">
        <v>7184557429.0300007</v>
      </c>
      <c r="S14" s="76">
        <v>94443422</v>
      </c>
      <c r="T14" s="76">
        <v>7090114007.0300007</v>
      </c>
      <c r="U14" s="76">
        <v>10933.380000000001</v>
      </c>
      <c r="V14" s="76">
        <v>54040</v>
      </c>
      <c r="W14" s="77">
        <f t="shared" si="2"/>
        <v>7</v>
      </c>
      <c r="X14" s="37"/>
      <c r="Y14" s="38"/>
      <c r="AA14" s="75">
        <v>7602598367</v>
      </c>
      <c r="AB14" s="76">
        <v>59596335</v>
      </c>
      <c r="AC14" s="76">
        <v>7543002032</v>
      </c>
      <c r="AD14" s="76">
        <v>11207</v>
      </c>
      <c r="AE14" s="76">
        <v>56088</v>
      </c>
      <c r="AF14" s="77">
        <f t="shared" si="3"/>
        <v>5</v>
      </c>
      <c r="AG14" s="432"/>
      <c r="AH14" s="75">
        <v>7771207142</v>
      </c>
      <c r="AI14" s="76">
        <v>59472535</v>
      </c>
      <c r="AJ14" s="76">
        <v>7711734607</v>
      </c>
      <c r="AK14" s="76">
        <v>11204.66</v>
      </c>
      <c r="AL14" s="76">
        <v>57355</v>
      </c>
      <c r="AM14" s="77">
        <f t="shared" si="4"/>
        <v>3</v>
      </c>
      <c r="AN14" s="75">
        <v>7803550068.6400003</v>
      </c>
      <c r="AO14" s="76">
        <v>60469539</v>
      </c>
      <c r="AP14" s="76">
        <v>7743080529.6400003</v>
      </c>
      <c r="AQ14" s="76">
        <v>11019.649999999998</v>
      </c>
      <c r="AR14" s="76">
        <v>58555</v>
      </c>
      <c r="AS14" s="77">
        <f t="shared" si="5"/>
        <v>5</v>
      </c>
      <c r="AT14" s="37"/>
      <c r="AU14" s="38"/>
    </row>
    <row r="15" spans="1:47" ht="18" customHeight="1">
      <c r="A15" s="422"/>
      <c r="B15" s="422"/>
      <c r="C15" s="284" t="s">
        <v>230</v>
      </c>
      <c r="D15" s="34"/>
      <c r="E15" s="75"/>
      <c r="F15" s="76"/>
      <c r="G15" s="285">
        <v>6738967644</v>
      </c>
      <c r="H15" s="285">
        <v>10497</v>
      </c>
      <c r="I15" s="285">
        <v>53499</v>
      </c>
      <c r="J15" s="77">
        <f t="shared" si="0"/>
        <v>3</v>
      </c>
      <c r="K15" s="432"/>
      <c r="L15" s="75"/>
      <c r="M15" s="76"/>
      <c r="N15" s="285">
        <v>6808215328</v>
      </c>
      <c r="O15" s="285">
        <v>10546</v>
      </c>
      <c r="P15" s="285">
        <v>53798</v>
      </c>
      <c r="Q15" s="77">
        <f t="shared" si="1"/>
        <v>3</v>
      </c>
      <c r="R15" s="75"/>
      <c r="S15" s="76"/>
      <c r="T15" s="285">
        <v>6793838381.3500004</v>
      </c>
      <c r="U15" s="285">
        <v>10303.990000000002</v>
      </c>
      <c r="V15" s="285">
        <v>54945</v>
      </c>
      <c r="W15" s="77">
        <f t="shared" si="2"/>
        <v>4</v>
      </c>
      <c r="X15" s="37"/>
      <c r="Y15" s="38"/>
      <c r="AA15" s="75"/>
      <c r="AB15" s="76"/>
      <c r="AC15" s="285">
        <v>7229644811</v>
      </c>
      <c r="AD15" s="285">
        <v>10559</v>
      </c>
      <c r="AE15" s="285">
        <v>57058</v>
      </c>
      <c r="AF15" s="77">
        <f t="shared" si="3"/>
        <v>3</v>
      </c>
      <c r="AG15" s="432"/>
      <c r="AH15" s="75"/>
      <c r="AI15" s="76"/>
      <c r="AJ15" s="285">
        <v>7392377987</v>
      </c>
      <c r="AK15" s="285">
        <v>10556</v>
      </c>
      <c r="AL15" s="285">
        <v>58358</v>
      </c>
      <c r="AM15" s="77">
        <f t="shared" si="4"/>
        <v>2</v>
      </c>
      <c r="AN15" s="75"/>
      <c r="AO15" s="76"/>
      <c r="AP15" s="300">
        <v>7423098540.6400003</v>
      </c>
      <c r="AQ15" s="300">
        <v>10385.419999999998</v>
      </c>
      <c r="AR15" s="285">
        <v>59563</v>
      </c>
      <c r="AS15" s="77">
        <f t="shared" si="5"/>
        <v>3</v>
      </c>
      <c r="AT15" s="37"/>
      <c r="AU15" s="38"/>
    </row>
    <row r="16" spans="1:47" ht="18" customHeight="1">
      <c r="A16" s="422"/>
      <c r="B16" s="422"/>
      <c r="C16" s="259" t="s">
        <v>210</v>
      </c>
      <c r="D16" s="34"/>
      <c r="E16" s="91">
        <f>SUM(E12,E14)</f>
        <v>31616424588</v>
      </c>
      <c r="F16" s="82">
        <f t="shared" ref="F16:H16" si="18">SUM(F12,F14)</f>
        <v>158035168</v>
      </c>
      <c r="G16" s="82">
        <f t="shared" si="18"/>
        <v>31458389420</v>
      </c>
      <c r="H16" s="82">
        <f t="shared" si="18"/>
        <v>55981</v>
      </c>
      <c r="I16" s="82">
        <f>G16/H16/12</f>
        <v>46828.96789386875</v>
      </c>
      <c r="J16" s="81">
        <f t="shared" si="0"/>
        <v>12</v>
      </c>
      <c r="K16" s="432"/>
      <c r="L16" s="91">
        <f>SUM(L12,L14)</f>
        <v>32166873194</v>
      </c>
      <c r="M16" s="91">
        <f t="shared" ref="M16:O16" si="19">SUM(M12,M14)</f>
        <v>271521066</v>
      </c>
      <c r="N16" s="91">
        <f t="shared" si="19"/>
        <v>31895352128</v>
      </c>
      <c r="O16" s="91">
        <f t="shared" si="19"/>
        <v>56051</v>
      </c>
      <c r="P16" s="91">
        <f>N16/O16/12</f>
        <v>47420.135424286214</v>
      </c>
      <c r="Q16" s="81">
        <f t="shared" si="1"/>
        <v>12</v>
      </c>
      <c r="R16" s="91">
        <f>SUM(R12,R14)</f>
        <v>32336366514.829994</v>
      </c>
      <c r="S16" s="82">
        <f t="shared" ref="S16:U16" si="20">SUM(S12,S14)</f>
        <v>304386226</v>
      </c>
      <c r="T16" s="82">
        <f t="shared" si="20"/>
        <v>32031980288.829994</v>
      </c>
      <c r="U16" s="82">
        <f t="shared" si="20"/>
        <v>52204.709999999992</v>
      </c>
      <c r="V16" s="82">
        <f>T16/U16/12</f>
        <v>51132.008792613407</v>
      </c>
      <c r="W16" s="81">
        <f t="shared" si="2"/>
        <v>12</v>
      </c>
      <c r="X16" s="37"/>
      <c r="Y16" s="38"/>
      <c r="AA16" s="91">
        <f>SUM(AA12,AA14)</f>
        <v>33970168199</v>
      </c>
      <c r="AB16" s="82">
        <f t="shared" ref="AB16:AD16" si="21">SUM(AB12,AB14)</f>
        <v>158155168</v>
      </c>
      <c r="AC16" s="82">
        <f t="shared" si="21"/>
        <v>33812013031</v>
      </c>
      <c r="AD16" s="82">
        <f t="shared" si="21"/>
        <v>56068</v>
      </c>
      <c r="AE16" s="82">
        <f>AC16/AD16/12</f>
        <v>50254.472294059589</v>
      </c>
      <c r="AF16" s="81">
        <f t="shared" si="3"/>
        <v>13</v>
      </c>
      <c r="AG16" s="432"/>
      <c r="AH16" s="91">
        <f>SUM(AH12,AH14)</f>
        <v>34819599179</v>
      </c>
      <c r="AI16" s="91">
        <f t="shared" ref="AI16:AK16" si="22">SUM(AI12,AI14)</f>
        <v>244131368</v>
      </c>
      <c r="AJ16" s="91">
        <f t="shared" si="22"/>
        <v>34575467811</v>
      </c>
      <c r="AK16" s="91">
        <f t="shared" si="22"/>
        <v>56978.66</v>
      </c>
      <c r="AL16" s="91">
        <f>AJ16/AK16/12</f>
        <v>50567.86144584656</v>
      </c>
      <c r="AM16" s="81">
        <f t="shared" si="4"/>
        <v>11</v>
      </c>
      <c r="AN16" s="91">
        <f>SUM(AN12,AN14)</f>
        <v>34780169055.450005</v>
      </c>
      <c r="AO16" s="82">
        <f t="shared" ref="AO16:AQ16" si="23">SUM(AO12,AO14)</f>
        <v>335016158.76999998</v>
      </c>
      <c r="AP16" s="82">
        <f t="shared" si="23"/>
        <v>34445152896.68</v>
      </c>
      <c r="AQ16" s="82">
        <f t="shared" si="23"/>
        <v>52309.95</v>
      </c>
      <c r="AR16" s="82">
        <f>AP16/AQ16/12</f>
        <v>54873.487893922029</v>
      </c>
      <c r="AS16" s="81">
        <f t="shared" si="5"/>
        <v>12</v>
      </c>
      <c r="AT16" s="37"/>
      <c r="AU16" s="38"/>
    </row>
    <row r="17" spans="1:47" ht="18" customHeight="1" thickBot="1">
      <c r="A17" s="422"/>
      <c r="B17" s="422"/>
      <c r="C17" s="284" t="s">
        <v>230</v>
      </c>
      <c r="D17" s="34"/>
      <c r="E17" s="181"/>
      <c r="F17" s="78"/>
      <c r="G17" s="286">
        <f>G13+G15</f>
        <v>28493441831</v>
      </c>
      <c r="H17" s="286">
        <f>H13+H15</f>
        <v>47931</v>
      </c>
      <c r="I17" s="286">
        <f>G17/H17/12</f>
        <v>49538.993259407616</v>
      </c>
      <c r="J17" s="195">
        <f t="shared" si="0"/>
        <v>8</v>
      </c>
      <c r="K17" s="432"/>
      <c r="L17" s="181"/>
      <c r="M17" s="78"/>
      <c r="N17" s="286">
        <f>N13+N15</f>
        <v>28746404637</v>
      </c>
      <c r="O17" s="286">
        <f>O13+O15</f>
        <v>47980</v>
      </c>
      <c r="P17" s="286">
        <f>N17/O17/12</f>
        <v>49927.755726344309</v>
      </c>
      <c r="Q17" s="195">
        <f t="shared" si="1"/>
        <v>8</v>
      </c>
      <c r="R17" s="181"/>
      <c r="S17" s="78"/>
      <c r="T17" s="286">
        <f>T13+T15</f>
        <v>28888856526.229996</v>
      </c>
      <c r="U17" s="286">
        <f>U13+U15</f>
        <v>44345.440000000002</v>
      </c>
      <c r="V17" s="286">
        <f>T17/U17/12</f>
        <v>54287.536903888336</v>
      </c>
      <c r="W17" s="195">
        <f t="shared" si="2"/>
        <v>5</v>
      </c>
      <c r="X17" s="37"/>
      <c r="Y17" s="38"/>
      <c r="AA17" s="181"/>
      <c r="AB17" s="78"/>
      <c r="AC17" s="286">
        <f>AC13+AC15</f>
        <v>30485177717</v>
      </c>
      <c r="AD17" s="286">
        <f>AD13+AD15</f>
        <v>47993</v>
      </c>
      <c r="AE17" s="286">
        <f>AC17/AD17/12</f>
        <v>52933.375209231897</v>
      </c>
      <c r="AF17" s="195">
        <f t="shared" si="3"/>
        <v>8</v>
      </c>
      <c r="AG17" s="432"/>
      <c r="AH17" s="181"/>
      <c r="AI17" s="78"/>
      <c r="AJ17" s="286">
        <f>AJ13+AJ15</f>
        <v>31186057602</v>
      </c>
      <c r="AK17" s="286">
        <f>AK13+AK15</f>
        <v>48903</v>
      </c>
      <c r="AL17" s="286">
        <f>AJ17/AK17/12</f>
        <v>53142.713811013644</v>
      </c>
      <c r="AM17" s="195">
        <f t="shared" si="4"/>
        <v>6</v>
      </c>
      <c r="AN17" s="181"/>
      <c r="AO17" s="78"/>
      <c r="AP17" s="286">
        <f>AP13+AP15</f>
        <v>31068772348.080002</v>
      </c>
      <c r="AQ17" s="286">
        <f>AQ13+AQ15</f>
        <v>44426.770000000004</v>
      </c>
      <c r="AR17" s="286">
        <f>AP17/AQ17/12</f>
        <v>58277.123507740936</v>
      </c>
      <c r="AS17" s="195">
        <f t="shared" si="5"/>
        <v>6</v>
      </c>
      <c r="AT17" s="37"/>
      <c r="AU17" s="38"/>
    </row>
    <row r="18" spans="1:47" ht="18" customHeight="1">
      <c r="A18" s="421">
        <v>336</v>
      </c>
      <c r="B18" s="424" t="s">
        <v>39</v>
      </c>
      <c r="C18" s="258" t="s">
        <v>214</v>
      </c>
      <c r="D18" s="34"/>
      <c r="E18" s="287">
        <v>10328977348</v>
      </c>
      <c r="F18" s="288">
        <v>6030394475</v>
      </c>
      <c r="G18" s="288">
        <v>4298582873</v>
      </c>
      <c r="H18" s="288">
        <v>9515</v>
      </c>
      <c r="I18" s="288">
        <v>37647</v>
      </c>
      <c r="J18" s="289">
        <f t="shared" si="0"/>
        <v>18</v>
      </c>
      <c r="K18" s="432"/>
      <c r="L18" s="287">
        <v>10740128851</v>
      </c>
      <c r="M18" s="288">
        <v>6329142633</v>
      </c>
      <c r="N18" s="288">
        <v>4410986218</v>
      </c>
      <c r="O18" s="288">
        <v>9515</v>
      </c>
      <c r="P18" s="290">
        <v>38632</v>
      </c>
      <c r="Q18" s="289">
        <f t="shared" si="1"/>
        <v>18</v>
      </c>
      <c r="R18" s="287">
        <v>10757078330.91</v>
      </c>
      <c r="S18" s="288">
        <v>6388181603.9099998</v>
      </c>
      <c r="T18" s="288">
        <v>4368896727</v>
      </c>
      <c r="U18" s="288">
        <v>9275.0999999999985</v>
      </c>
      <c r="V18" s="288">
        <v>39253</v>
      </c>
      <c r="W18" s="289">
        <f t="shared" si="2"/>
        <v>18</v>
      </c>
      <c r="X18" s="37"/>
      <c r="Y18" s="38"/>
      <c r="AA18" s="287">
        <v>11388172348</v>
      </c>
      <c r="AB18" s="288">
        <v>6455585081</v>
      </c>
      <c r="AC18" s="288">
        <v>4932587267</v>
      </c>
      <c r="AD18" s="288">
        <v>9515</v>
      </c>
      <c r="AE18" s="288">
        <v>43200</v>
      </c>
      <c r="AF18" s="289">
        <f t="shared" si="3"/>
        <v>18</v>
      </c>
      <c r="AG18" s="432"/>
      <c r="AH18" s="287">
        <v>11753747697</v>
      </c>
      <c r="AI18" s="288">
        <v>6870273508</v>
      </c>
      <c r="AJ18" s="288">
        <v>4883474189</v>
      </c>
      <c r="AK18" s="288">
        <v>9515</v>
      </c>
      <c r="AL18" s="290">
        <v>42770</v>
      </c>
      <c r="AM18" s="289">
        <f t="shared" si="4"/>
        <v>18</v>
      </c>
      <c r="AN18" s="287">
        <v>11730049883.390001</v>
      </c>
      <c r="AO18" s="288">
        <v>6872363466.3900013</v>
      </c>
      <c r="AP18" s="288">
        <v>4857686417</v>
      </c>
      <c r="AQ18" s="288">
        <v>9281.130000000001</v>
      </c>
      <c r="AR18" s="288">
        <v>43616</v>
      </c>
      <c r="AS18" s="289">
        <f t="shared" si="5"/>
        <v>18</v>
      </c>
      <c r="AT18" s="37"/>
      <c r="AU18" s="38"/>
    </row>
    <row r="19" spans="1:47" ht="18" customHeight="1">
      <c r="A19" s="422"/>
      <c r="B19" s="422"/>
      <c r="C19" s="284" t="s">
        <v>230</v>
      </c>
      <c r="D19" s="34"/>
      <c r="E19" s="75"/>
      <c r="F19" s="76"/>
      <c r="G19" s="285"/>
      <c r="H19" s="285"/>
      <c r="I19" s="285"/>
      <c r="J19" s="77" t="e">
        <f t="shared" si="0"/>
        <v>#N/A</v>
      </c>
      <c r="K19" s="432"/>
      <c r="L19" s="75"/>
      <c r="M19" s="76"/>
      <c r="N19" s="285"/>
      <c r="O19" s="285"/>
      <c r="P19" s="291"/>
      <c r="Q19" s="77" t="e">
        <f t="shared" si="1"/>
        <v>#N/A</v>
      </c>
      <c r="R19" s="75"/>
      <c r="S19" s="76"/>
      <c r="T19" s="285"/>
      <c r="U19" s="285"/>
      <c r="V19" s="285"/>
      <c r="W19" s="77" t="e">
        <f t="shared" si="2"/>
        <v>#N/A</v>
      </c>
      <c r="X19" s="37"/>
      <c r="Y19" s="38"/>
      <c r="AA19" s="75"/>
      <c r="AB19" s="76"/>
      <c r="AC19" s="285"/>
      <c r="AD19" s="285"/>
      <c r="AE19" s="285"/>
      <c r="AF19" s="77" t="e">
        <f t="shared" si="3"/>
        <v>#N/A</v>
      </c>
      <c r="AG19" s="432"/>
      <c r="AH19" s="75"/>
      <c r="AI19" s="76"/>
      <c r="AJ19" s="285"/>
      <c r="AK19" s="285"/>
      <c r="AL19" s="291"/>
      <c r="AM19" s="77" t="e">
        <f t="shared" si="4"/>
        <v>#N/A</v>
      </c>
      <c r="AN19" s="75"/>
      <c r="AO19" s="76"/>
      <c r="AP19" s="285"/>
      <c r="AQ19" s="285"/>
      <c r="AR19" s="285"/>
      <c r="AS19" s="77" t="e">
        <f t="shared" si="5"/>
        <v>#N/A</v>
      </c>
      <c r="AT19" s="37"/>
      <c r="AU19" s="38"/>
    </row>
    <row r="20" spans="1:47" ht="18" customHeight="1">
      <c r="A20" s="422"/>
      <c r="B20" s="425"/>
      <c r="C20" s="270" t="s">
        <v>215</v>
      </c>
      <c r="D20" s="269"/>
      <c r="E20" s="75">
        <v>2715063740</v>
      </c>
      <c r="F20" s="76">
        <v>1218464</v>
      </c>
      <c r="G20" s="76">
        <v>2713845276</v>
      </c>
      <c r="H20" s="76">
        <v>2756</v>
      </c>
      <c r="I20" s="76">
        <v>82059</v>
      </c>
      <c r="J20" s="77">
        <f t="shared" si="0"/>
        <v>1</v>
      </c>
      <c r="K20" s="432"/>
      <c r="L20" s="75">
        <v>2743352380</v>
      </c>
      <c r="M20" s="76">
        <v>1218464</v>
      </c>
      <c r="N20" s="76">
        <v>2742133916</v>
      </c>
      <c r="O20" s="76">
        <v>2756</v>
      </c>
      <c r="P20" s="292">
        <v>82914</v>
      </c>
      <c r="Q20" s="77">
        <f t="shared" si="1"/>
        <v>1</v>
      </c>
      <c r="R20" s="75">
        <v>2778809862</v>
      </c>
      <c r="S20" s="76">
        <v>1278187</v>
      </c>
      <c r="T20" s="76">
        <v>2777531675</v>
      </c>
      <c r="U20" s="76">
        <v>2582.04</v>
      </c>
      <c r="V20" s="76">
        <v>89643</v>
      </c>
      <c r="W20" s="77">
        <f t="shared" si="2"/>
        <v>1</v>
      </c>
      <c r="X20" s="37"/>
      <c r="Y20" s="38"/>
      <c r="AA20" s="75">
        <v>3002130988</v>
      </c>
      <c r="AB20" s="76">
        <v>1218464</v>
      </c>
      <c r="AC20" s="76">
        <v>3000912524</v>
      </c>
      <c r="AD20" s="76">
        <v>2756</v>
      </c>
      <c r="AE20" s="76">
        <v>90739</v>
      </c>
      <c r="AF20" s="77">
        <f t="shared" si="3"/>
        <v>1</v>
      </c>
      <c r="AG20" s="432"/>
      <c r="AH20" s="75">
        <v>3025601809</v>
      </c>
      <c r="AI20" s="76">
        <v>1218464</v>
      </c>
      <c r="AJ20" s="76">
        <v>3024383345</v>
      </c>
      <c r="AK20" s="76">
        <v>2756</v>
      </c>
      <c r="AL20" s="292">
        <v>91448</v>
      </c>
      <c r="AM20" s="77">
        <f t="shared" si="4"/>
        <v>1</v>
      </c>
      <c r="AN20" s="75">
        <v>3008528427</v>
      </c>
      <c r="AO20" s="76">
        <v>1472456</v>
      </c>
      <c r="AP20" s="76">
        <v>3007055971</v>
      </c>
      <c r="AQ20" s="76">
        <v>2585.11</v>
      </c>
      <c r="AR20" s="76">
        <v>96935</v>
      </c>
      <c r="AS20" s="77">
        <f t="shared" si="5"/>
        <v>1</v>
      </c>
      <c r="AT20" s="37"/>
      <c r="AU20" s="38"/>
    </row>
    <row r="21" spans="1:47" ht="18" customHeight="1">
      <c r="A21" s="422"/>
      <c r="B21" s="425"/>
      <c r="C21" s="284" t="s">
        <v>230</v>
      </c>
      <c r="D21" s="269"/>
      <c r="E21" s="75"/>
      <c r="F21" s="76"/>
      <c r="G21" s="285"/>
      <c r="H21" s="285"/>
      <c r="I21" s="285"/>
      <c r="J21" s="77" t="e">
        <f t="shared" si="0"/>
        <v>#N/A</v>
      </c>
      <c r="K21" s="432"/>
      <c r="L21" s="75"/>
      <c r="M21" s="76"/>
      <c r="N21" s="285"/>
      <c r="O21" s="285"/>
      <c r="P21" s="291"/>
      <c r="Q21" s="77" t="e">
        <f t="shared" si="1"/>
        <v>#N/A</v>
      </c>
      <c r="R21" s="75"/>
      <c r="S21" s="76"/>
      <c r="T21" s="285"/>
      <c r="U21" s="285"/>
      <c r="V21" s="285"/>
      <c r="W21" s="77" t="e">
        <f t="shared" si="2"/>
        <v>#N/A</v>
      </c>
      <c r="X21" s="37"/>
      <c r="Y21" s="38"/>
      <c r="AA21" s="75"/>
      <c r="AB21" s="76"/>
      <c r="AC21" s="285"/>
      <c r="AD21" s="285"/>
      <c r="AE21" s="285"/>
      <c r="AF21" s="77" t="e">
        <f t="shared" si="3"/>
        <v>#N/A</v>
      </c>
      <c r="AG21" s="432"/>
      <c r="AH21" s="75"/>
      <c r="AI21" s="76"/>
      <c r="AJ21" s="285"/>
      <c r="AK21" s="285"/>
      <c r="AL21" s="291"/>
      <c r="AM21" s="77" t="e">
        <f t="shared" si="4"/>
        <v>#N/A</v>
      </c>
      <c r="AN21" s="75"/>
      <c r="AO21" s="76"/>
      <c r="AP21" s="285"/>
      <c r="AQ21" s="285"/>
      <c r="AR21" s="285"/>
      <c r="AS21" s="77" t="e">
        <f t="shared" si="5"/>
        <v>#N/A</v>
      </c>
      <c r="AT21" s="37"/>
      <c r="AU21" s="38"/>
    </row>
    <row r="22" spans="1:47" ht="18" customHeight="1">
      <c r="A22" s="422"/>
      <c r="B22" s="422"/>
      <c r="C22" s="258" t="s">
        <v>216</v>
      </c>
      <c r="D22" s="34"/>
      <c r="E22" s="75">
        <v>6165536304</v>
      </c>
      <c r="F22" s="76">
        <v>288079035</v>
      </c>
      <c r="G22" s="76">
        <v>5877457269</v>
      </c>
      <c r="H22" s="76">
        <v>11935</v>
      </c>
      <c r="I22" s="76">
        <v>41038</v>
      </c>
      <c r="J22" s="77">
        <f t="shared" si="0"/>
        <v>17</v>
      </c>
      <c r="K22" s="432"/>
      <c r="L22" s="75">
        <v>6443334964</v>
      </c>
      <c r="M22" s="76">
        <v>308797435</v>
      </c>
      <c r="N22" s="76">
        <v>6134537529</v>
      </c>
      <c r="O22" s="76">
        <v>11495.83</v>
      </c>
      <c r="P22" s="292">
        <v>44469</v>
      </c>
      <c r="Q22" s="77">
        <f t="shared" si="1"/>
        <v>17</v>
      </c>
      <c r="R22" s="75">
        <v>6331082830</v>
      </c>
      <c r="S22" s="76">
        <v>299751869</v>
      </c>
      <c r="T22" s="76">
        <v>6031330961</v>
      </c>
      <c r="U22" s="76">
        <v>10559.32</v>
      </c>
      <c r="V22" s="76">
        <v>47599</v>
      </c>
      <c r="W22" s="77">
        <f t="shared" si="2"/>
        <v>17</v>
      </c>
      <c r="X22" s="37"/>
      <c r="Y22" s="38"/>
      <c r="AA22" s="75">
        <v>6820732757</v>
      </c>
      <c r="AB22" s="76">
        <v>324423385</v>
      </c>
      <c r="AC22" s="76">
        <v>6496309372</v>
      </c>
      <c r="AD22" s="76">
        <v>11483</v>
      </c>
      <c r="AE22" s="76">
        <v>47144</v>
      </c>
      <c r="AF22" s="77">
        <f t="shared" si="3"/>
        <v>17</v>
      </c>
      <c r="AG22" s="432"/>
      <c r="AH22" s="75">
        <v>6684647746</v>
      </c>
      <c r="AI22" s="76">
        <v>293853385</v>
      </c>
      <c r="AJ22" s="76">
        <v>6390794361</v>
      </c>
      <c r="AK22" s="76">
        <v>11211.83</v>
      </c>
      <c r="AL22" s="292">
        <v>47500</v>
      </c>
      <c r="AM22" s="77">
        <f t="shared" si="4"/>
        <v>17</v>
      </c>
      <c r="AN22" s="75">
        <v>6667434468</v>
      </c>
      <c r="AO22" s="76">
        <v>305353164.00000006</v>
      </c>
      <c r="AP22" s="76">
        <v>6362081304</v>
      </c>
      <c r="AQ22" s="76">
        <v>10176.219999999999</v>
      </c>
      <c r="AR22" s="76">
        <v>52099</v>
      </c>
      <c r="AS22" s="77">
        <f t="shared" si="5"/>
        <v>17</v>
      </c>
      <c r="AT22" s="37"/>
      <c r="AU22" s="38"/>
    </row>
    <row r="23" spans="1:47" ht="18" customHeight="1">
      <c r="A23" s="422"/>
      <c r="B23" s="422"/>
      <c r="C23" s="284" t="s">
        <v>230</v>
      </c>
      <c r="D23" s="34"/>
      <c r="E23" s="75"/>
      <c r="F23" s="76"/>
      <c r="G23" s="285">
        <v>3802405457</v>
      </c>
      <c r="H23" s="285">
        <v>7516</v>
      </c>
      <c r="I23" s="285">
        <v>42159</v>
      </c>
      <c r="J23" s="77">
        <f t="shared" si="0"/>
        <v>15</v>
      </c>
      <c r="K23" s="432"/>
      <c r="L23" s="75"/>
      <c r="M23" s="76"/>
      <c r="N23" s="285">
        <v>4058752975</v>
      </c>
      <c r="O23" s="285">
        <v>7364</v>
      </c>
      <c r="P23" s="291">
        <v>45930</v>
      </c>
      <c r="Q23" s="77">
        <f t="shared" si="1"/>
        <v>15</v>
      </c>
      <c r="R23" s="75"/>
      <c r="S23" s="76"/>
      <c r="T23" s="285">
        <v>3979488667</v>
      </c>
      <c r="U23" s="285">
        <v>6532.44</v>
      </c>
      <c r="V23" s="285">
        <v>50766</v>
      </c>
      <c r="W23" s="77">
        <f t="shared" si="2"/>
        <v>13</v>
      </c>
      <c r="X23" s="37"/>
      <c r="Y23" s="38"/>
      <c r="AA23" s="75"/>
      <c r="AB23" s="76"/>
      <c r="AC23" s="285">
        <v>4304015114</v>
      </c>
      <c r="AD23" s="285">
        <v>7370</v>
      </c>
      <c r="AE23" s="285">
        <v>48666</v>
      </c>
      <c r="AF23" s="77">
        <f t="shared" si="3"/>
        <v>15</v>
      </c>
      <c r="AG23" s="432"/>
      <c r="AH23" s="75"/>
      <c r="AI23" s="76"/>
      <c r="AJ23" s="285">
        <v>4395677794</v>
      </c>
      <c r="AK23" s="285">
        <v>7342</v>
      </c>
      <c r="AL23" s="291">
        <v>49892</v>
      </c>
      <c r="AM23" s="77">
        <f t="shared" si="4"/>
        <v>14</v>
      </c>
      <c r="AN23" s="75"/>
      <c r="AO23" s="76"/>
      <c r="AP23" s="285">
        <v>4384073910</v>
      </c>
      <c r="AQ23" s="285">
        <v>6496.24</v>
      </c>
      <c r="AR23" s="285">
        <v>56239</v>
      </c>
      <c r="AS23" s="77">
        <f t="shared" si="5"/>
        <v>8</v>
      </c>
      <c r="AT23" s="37"/>
      <c r="AU23" s="38"/>
    </row>
    <row r="24" spans="1:47" ht="18" customHeight="1" thickBot="1">
      <c r="A24" s="422"/>
      <c r="B24" s="422"/>
      <c r="C24" s="254" t="s">
        <v>210</v>
      </c>
      <c r="D24" s="34"/>
      <c r="E24" s="255">
        <f>SUM(E18:E22)</f>
        <v>19209577392</v>
      </c>
      <c r="F24" s="256">
        <f t="shared" ref="F24:H24" si="24">SUM(F18:F22)</f>
        <v>6319691974</v>
      </c>
      <c r="G24" s="256">
        <f t="shared" si="24"/>
        <v>12889885418</v>
      </c>
      <c r="H24" s="256">
        <f t="shared" si="24"/>
        <v>24206</v>
      </c>
      <c r="I24" s="256">
        <f>G24/H24/12</f>
        <v>44375.655546834118</v>
      </c>
      <c r="J24" s="257">
        <f t="shared" si="0"/>
        <v>14</v>
      </c>
      <c r="K24" s="432"/>
      <c r="L24" s="255">
        <f>SUM(L18:L22)</f>
        <v>19926816195</v>
      </c>
      <c r="M24" s="256">
        <f t="shared" ref="M24:O24" si="25">SUM(M18:M22)</f>
        <v>6639158532</v>
      </c>
      <c r="N24" s="256">
        <f t="shared" si="25"/>
        <v>13287657663</v>
      </c>
      <c r="O24" s="256">
        <f t="shared" si="25"/>
        <v>23766.83</v>
      </c>
      <c r="P24" s="293">
        <f>N24/O24/12</f>
        <v>46590.34483143103</v>
      </c>
      <c r="Q24" s="257">
        <f t="shared" si="1"/>
        <v>13</v>
      </c>
      <c r="R24" s="255">
        <f>SUM(R18:R22)</f>
        <v>19866971022.91</v>
      </c>
      <c r="S24" s="256">
        <f t="shared" ref="S24:U24" si="26">SUM(S18:S22)</f>
        <v>6689211659.9099998</v>
      </c>
      <c r="T24" s="256">
        <f t="shared" si="26"/>
        <v>13177759363</v>
      </c>
      <c r="U24" s="256">
        <f t="shared" si="26"/>
        <v>22416.46</v>
      </c>
      <c r="V24" s="256">
        <f>T24/U24/12</f>
        <v>48988.404662615474</v>
      </c>
      <c r="W24" s="257">
        <f t="shared" si="2"/>
        <v>16</v>
      </c>
      <c r="X24" s="37"/>
      <c r="Y24" s="38"/>
      <c r="AA24" s="255">
        <f>SUM(AA18:AA22)</f>
        <v>21211036093</v>
      </c>
      <c r="AB24" s="256">
        <f t="shared" ref="AB24:AD24" si="27">SUM(AB18:AB22)</f>
        <v>6781226930</v>
      </c>
      <c r="AC24" s="256">
        <f t="shared" si="27"/>
        <v>14429809163</v>
      </c>
      <c r="AD24" s="256">
        <f t="shared" si="27"/>
        <v>23754</v>
      </c>
      <c r="AE24" s="256">
        <f>AC24/AD24/12</f>
        <v>50622.383468749125</v>
      </c>
      <c r="AF24" s="257">
        <f t="shared" si="3"/>
        <v>12</v>
      </c>
      <c r="AG24" s="432"/>
      <c r="AH24" s="255">
        <f>SUM(AH18:AH22)</f>
        <v>21463997252</v>
      </c>
      <c r="AI24" s="256">
        <f t="shared" ref="AI24:AK24" si="28">SUM(AI18:AI22)</f>
        <v>7165345357</v>
      </c>
      <c r="AJ24" s="256">
        <f t="shared" si="28"/>
        <v>14298651895</v>
      </c>
      <c r="AK24" s="256">
        <f t="shared" si="28"/>
        <v>23482.83</v>
      </c>
      <c r="AL24" s="293">
        <f>AJ24/AK24/12</f>
        <v>50741.513036688215</v>
      </c>
      <c r="AM24" s="257">
        <f t="shared" si="4"/>
        <v>10</v>
      </c>
      <c r="AN24" s="255">
        <f>SUM(AN18:AN22)</f>
        <v>21406012778.389999</v>
      </c>
      <c r="AO24" s="256">
        <f t="shared" ref="AO24:AQ24" si="29">SUM(AO18:AO22)</f>
        <v>7179189086.3900013</v>
      </c>
      <c r="AP24" s="256">
        <f t="shared" si="29"/>
        <v>14226823692</v>
      </c>
      <c r="AQ24" s="256">
        <f t="shared" si="29"/>
        <v>22042.46</v>
      </c>
      <c r="AR24" s="256">
        <f>AP24/AQ24/12</f>
        <v>53785.677324581746</v>
      </c>
      <c r="AS24" s="257">
        <f t="shared" si="5"/>
        <v>16</v>
      </c>
      <c r="AT24" s="37"/>
      <c r="AU24" s="38"/>
    </row>
    <row r="25" spans="1:47" ht="18" customHeight="1" thickBot="1">
      <c r="A25" s="423"/>
      <c r="B25" s="423"/>
      <c r="C25" s="284" t="s">
        <v>230</v>
      </c>
      <c r="D25" s="34"/>
      <c r="E25" s="260"/>
      <c r="F25" s="262"/>
      <c r="G25" s="285">
        <f>G23</f>
        <v>3802405457</v>
      </c>
      <c r="H25" s="285">
        <f t="shared" ref="H25:I25" si="30">H23</f>
        <v>7516</v>
      </c>
      <c r="I25" s="285">
        <f t="shared" si="30"/>
        <v>42159</v>
      </c>
      <c r="J25" s="261">
        <f t="shared" si="0"/>
        <v>15</v>
      </c>
      <c r="K25" s="432"/>
      <c r="L25" s="260"/>
      <c r="M25" s="262"/>
      <c r="N25" s="285">
        <f>N23</f>
        <v>4058752975</v>
      </c>
      <c r="O25" s="285">
        <f t="shared" ref="O25:P25" si="31">O23</f>
        <v>7364</v>
      </c>
      <c r="P25" s="285">
        <f t="shared" si="31"/>
        <v>45930</v>
      </c>
      <c r="Q25" s="261">
        <f t="shared" si="1"/>
        <v>15</v>
      </c>
      <c r="R25" s="260"/>
      <c r="S25" s="262"/>
      <c r="T25" s="285">
        <f>T23</f>
        <v>3979488667</v>
      </c>
      <c r="U25" s="285">
        <f t="shared" ref="U25:V25" si="32">U23</f>
        <v>6532.44</v>
      </c>
      <c r="V25" s="285">
        <f t="shared" si="32"/>
        <v>50766</v>
      </c>
      <c r="W25" s="261">
        <f t="shared" si="2"/>
        <v>13</v>
      </c>
      <c r="X25" s="37"/>
      <c r="Y25" s="38"/>
      <c r="AA25" s="260"/>
      <c r="AB25" s="262"/>
      <c r="AC25" s="285">
        <f>AC23</f>
        <v>4304015114</v>
      </c>
      <c r="AD25" s="285">
        <f t="shared" ref="AD25:AE25" si="33">AD23</f>
        <v>7370</v>
      </c>
      <c r="AE25" s="285">
        <f t="shared" si="33"/>
        <v>48666</v>
      </c>
      <c r="AF25" s="261">
        <f t="shared" si="3"/>
        <v>15</v>
      </c>
      <c r="AG25" s="432"/>
      <c r="AH25" s="260"/>
      <c r="AI25" s="262"/>
      <c r="AJ25" s="285">
        <f>AJ23</f>
        <v>4395677794</v>
      </c>
      <c r="AK25" s="285">
        <f t="shared" ref="AK25:AL25" si="34">AK23</f>
        <v>7342</v>
      </c>
      <c r="AL25" s="285">
        <f t="shared" si="34"/>
        <v>49892</v>
      </c>
      <c r="AM25" s="261">
        <f t="shared" si="4"/>
        <v>14</v>
      </c>
      <c r="AN25" s="260"/>
      <c r="AO25" s="262"/>
      <c r="AP25" s="285">
        <f>AP23</f>
        <v>4384073910</v>
      </c>
      <c r="AQ25" s="285">
        <f t="shared" ref="AQ25:AR25" si="35">AQ23</f>
        <v>6496.24</v>
      </c>
      <c r="AR25" s="285">
        <f t="shared" si="35"/>
        <v>56239</v>
      </c>
      <c r="AS25" s="261">
        <f t="shared" si="5"/>
        <v>8</v>
      </c>
      <c r="AT25" s="37"/>
      <c r="AU25" s="38"/>
    </row>
    <row r="26" spans="1:47" ht="14.25" customHeight="1">
      <c r="A26" s="372" t="s">
        <v>217</v>
      </c>
      <c r="B26" s="426"/>
      <c r="C26" s="427"/>
      <c r="D26" s="35"/>
      <c r="E26" s="179"/>
      <c r="F26" s="176"/>
      <c r="G26" s="176"/>
      <c r="H26" s="176"/>
      <c r="I26" s="176"/>
      <c r="J26" s="178"/>
      <c r="K26" s="432"/>
      <c r="L26" s="179"/>
      <c r="M26" s="176"/>
      <c r="N26" s="176"/>
      <c r="O26" s="176"/>
      <c r="P26" s="176"/>
      <c r="Q26" s="178"/>
      <c r="R26" s="49"/>
      <c r="S26" s="50"/>
      <c r="T26" s="50"/>
      <c r="U26" s="50"/>
      <c r="V26" s="50"/>
      <c r="W26" s="51"/>
      <c r="X26" s="37"/>
      <c r="Y26" s="38"/>
      <c r="AA26" s="179"/>
      <c r="AB26" s="176"/>
      <c r="AC26" s="176"/>
      <c r="AD26" s="176"/>
      <c r="AE26" s="176"/>
      <c r="AF26" s="178"/>
      <c r="AG26" s="432"/>
      <c r="AH26" s="179"/>
      <c r="AI26" s="176"/>
      <c r="AJ26" s="176"/>
      <c r="AK26" s="176"/>
      <c r="AL26" s="176"/>
      <c r="AM26" s="178"/>
      <c r="AN26" s="49"/>
      <c r="AO26" s="50"/>
      <c r="AP26" s="50"/>
      <c r="AQ26" s="50"/>
      <c r="AR26" s="50"/>
      <c r="AS26" s="51"/>
      <c r="AT26" s="37"/>
      <c r="AU26" s="38"/>
    </row>
    <row r="27" spans="1:47" ht="14">
      <c r="A27" s="428"/>
      <c r="B27" s="429"/>
      <c r="C27" s="427"/>
      <c r="D27" s="35"/>
      <c r="E27" s="263">
        <f>E8+E11+E16+E24</f>
        <v>54626813028</v>
      </c>
      <c r="F27" s="78">
        <f>F8+F11+F16+F24</f>
        <v>6496908919</v>
      </c>
      <c r="G27" s="78">
        <f>G8+G11+G16+G24</f>
        <v>48129904109</v>
      </c>
      <c r="H27" s="78">
        <f>H8+H11+H16+H24</f>
        <v>86645</v>
      </c>
      <c r="I27" s="78">
        <f>G27/H27/12</f>
        <v>46290.326532594685</v>
      </c>
      <c r="J27" s="180"/>
      <c r="K27" s="432"/>
      <c r="L27" s="263">
        <f>L8+L11+L16+L24</f>
        <v>55905003254</v>
      </c>
      <c r="M27" s="78">
        <f>M8+M11+M16+M24</f>
        <v>6931246962</v>
      </c>
      <c r="N27" s="78">
        <f>N8+N11+N16+N24</f>
        <v>48973756292</v>
      </c>
      <c r="O27" s="78">
        <f>O8+O11+O16+O24</f>
        <v>86275.83</v>
      </c>
      <c r="P27" s="78">
        <f>N27/O27/12</f>
        <v>47303.472567770914</v>
      </c>
      <c r="Q27" s="180"/>
      <c r="R27" s="263">
        <f>R8+R11+R16+R24</f>
        <v>55831496112.73999</v>
      </c>
      <c r="S27" s="78">
        <f>S8+S11+S16+S24</f>
        <v>7025170023.9099998</v>
      </c>
      <c r="T27" s="78">
        <f>T8+T11+T16+T24</f>
        <v>48806326088.829994</v>
      </c>
      <c r="U27" s="78">
        <f>U8+U11+U16+U24</f>
        <v>80444.919999999984</v>
      </c>
      <c r="V27" s="78">
        <f>T27/U27/12</f>
        <v>50558.740573498413</v>
      </c>
      <c r="W27" s="11"/>
      <c r="X27" s="37"/>
      <c r="Y27" s="38"/>
      <c r="AA27" s="263">
        <f>AA8+AA11+AA16+AA24</f>
        <v>59190335816</v>
      </c>
      <c r="AB27" s="78">
        <f>AB8+AB11+AB16+AB24</f>
        <v>6957563875</v>
      </c>
      <c r="AC27" s="78">
        <f>AC8+AC11+AC16+AC24</f>
        <v>52232771941</v>
      </c>
      <c r="AD27" s="78">
        <f>AD8+AD11+AD16+AD24</f>
        <v>86188</v>
      </c>
      <c r="AE27" s="78">
        <f>AC27/AD27/12</f>
        <v>50502.749745710928</v>
      </c>
      <c r="AF27" s="180"/>
      <c r="AG27" s="432"/>
      <c r="AH27" s="263">
        <f>AH8+AH11+AH16+AH24</f>
        <v>60135805115</v>
      </c>
      <c r="AI27" s="78">
        <f>AI8+AI11+AI16+AI24</f>
        <v>7429978126</v>
      </c>
      <c r="AJ27" s="78">
        <f>AJ8+AJ11+AJ16+AJ24</f>
        <v>52705826989</v>
      </c>
      <c r="AK27" s="78">
        <f>AK8+AK11+AK16+AK24</f>
        <v>86836.49</v>
      </c>
      <c r="AL27" s="78">
        <f>AJ27/AK27/12</f>
        <v>50579.569131402393</v>
      </c>
      <c r="AM27" s="180"/>
      <c r="AN27" s="263">
        <f>AN8+AN11+AN16+AN24</f>
        <v>59956123120.080002</v>
      </c>
      <c r="AO27" s="78">
        <f>AO8+AO11+AO16+AO24</f>
        <v>7541860603.1600018</v>
      </c>
      <c r="AP27" s="78">
        <f>AP8+AP11+AP16+AP24</f>
        <v>52414262516.919998</v>
      </c>
      <c r="AQ27" s="78">
        <f>AQ8+AQ11+AQ16+AQ24</f>
        <v>79987.989999999991</v>
      </c>
      <c r="AR27" s="78">
        <f>AP27/AQ27/12</f>
        <v>54606.387905776028</v>
      </c>
      <c r="AS27" s="11"/>
      <c r="AT27" s="37"/>
      <c r="AU27" s="38"/>
    </row>
    <row r="28" spans="1:47" ht="14" customHeight="1" thickBot="1">
      <c r="A28" s="374"/>
      <c r="B28" s="430"/>
      <c r="C28" s="375"/>
      <c r="D28" s="35"/>
      <c r="E28" s="21"/>
      <c r="F28" s="171"/>
      <c r="G28" s="171"/>
      <c r="H28" s="171"/>
      <c r="I28" s="22"/>
      <c r="J28" s="23"/>
      <c r="K28" s="432"/>
      <c r="L28" s="21"/>
      <c r="M28" s="22"/>
      <c r="N28" s="22"/>
      <c r="O28" s="22"/>
      <c r="P28" s="22"/>
      <c r="Q28" s="23"/>
      <c r="R28" s="21"/>
      <c r="S28" s="22"/>
      <c r="T28" s="22"/>
      <c r="U28" s="22"/>
      <c r="V28" s="22"/>
      <c r="W28" s="23"/>
      <c r="X28" s="37"/>
      <c r="Y28" s="38"/>
      <c r="AA28" s="21"/>
      <c r="AB28" s="171"/>
      <c r="AC28" s="171"/>
      <c r="AD28" s="171"/>
      <c r="AE28" s="22"/>
      <c r="AF28" s="23"/>
      <c r="AG28" s="432"/>
      <c r="AH28" s="21"/>
      <c r="AI28" s="22"/>
      <c r="AJ28" s="22"/>
      <c r="AK28" s="22"/>
      <c r="AL28" s="22"/>
      <c r="AM28" s="23"/>
      <c r="AN28" s="21"/>
      <c r="AO28" s="22"/>
      <c r="AP28" s="22"/>
      <c r="AQ28" s="22"/>
      <c r="AR28" s="22"/>
      <c r="AS28" s="23"/>
      <c r="AT28" s="37"/>
      <c r="AU28" s="38"/>
    </row>
    <row r="29" spans="1:47" ht="14">
      <c r="E29" s="7"/>
      <c r="K29" s="432"/>
      <c r="AG29" s="432"/>
    </row>
    <row r="30" spans="1:47" ht="14" customHeight="1">
      <c r="E30" s="266" t="b">
        <f>E27=SUMAR!E9</f>
        <v>1</v>
      </c>
      <c r="F30" s="266" t="b">
        <f>F27=SUMAR!F9</f>
        <v>1</v>
      </c>
      <c r="G30" s="266" t="b">
        <f>G27=SUMAR!G9</f>
        <v>1</v>
      </c>
      <c r="H30" s="266" t="b">
        <f>H27=SUMAR!H9</f>
        <v>1</v>
      </c>
      <c r="I30" s="266" t="b">
        <f>ROUND(I27,0)=ROUND(SUMAR!I9,0)</f>
        <v>1</v>
      </c>
      <c r="J30" s="266"/>
      <c r="K30" s="432"/>
      <c r="L30" s="266" t="b">
        <f>L27=SUMAR!L9</f>
        <v>1</v>
      </c>
      <c r="M30" s="266" t="b">
        <f>M27=SUMAR!M9</f>
        <v>1</v>
      </c>
      <c r="N30" s="266" t="b">
        <f>N27=SUMAR!N9</f>
        <v>1</v>
      </c>
      <c r="O30" s="266" t="b">
        <f>O27=SUMAR!O9</f>
        <v>1</v>
      </c>
      <c r="P30" s="266" t="b">
        <f>ROUND(P27,0)=ROUND(SUMAR!P9,0)</f>
        <v>1</v>
      </c>
      <c r="Q30" s="266"/>
      <c r="R30" s="266" t="b">
        <f>R27=SUMAR!R9</f>
        <v>1</v>
      </c>
      <c r="S30" s="266" t="b">
        <f>S27=SUMAR!S9</f>
        <v>1</v>
      </c>
      <c r="T30" s="266" t="b">
        <f>T27=SUMAR!T9</f>
        <v>1</v>
      </c>
      <c r="U30" s="266" t="b">
        <f>U27=SUMAR!U9</f>
        <v>1</v>
      </c>
      <c r="V30" s="266" t="b">
        <f>ROUND(V27,0)=ROUND(SUMAR!V9,0)</f>
        <v>1</v>
      </c>
      <c r="AA30" s="266" t="b">
        <f>AA27=SUMAR!AA9</f>
        <v>1</v>
      </c>
      <c r="AB30" s="266" t="b">
        <f>AB27=SUMAR!AB9</f>
        <v>1</v>
      </c>
      <c r="AC30" s="266" t="b">
        <f>AC27=SUMAR!AC9</f>
        <v>1</v>
      </c>
      <c r="AD30" s="266" t="b">
        <f>AD27=SUMAR!AD9</f>
        <v>1</v>
      </c>
      <c r="AE30" s="266" t="b">
        <f>ROUND(AE27,0)=ROUND(SUMAR!AE9,0)</f>
        <v>1</v>
      </c>
      <c r="AG30" s="432"/>
      <c r="AH30" s="266" t="b">
        <f>AH27=SUMAR!AH9</f>
        <v>1</v>
      </c>
      <c r="AI30" s="266" t="b">
        <f>AI27=SUMAR!AI9</f>
        <v>1</v>
      </c>
      <c r="AJ30" s="266" t="b">
        <f>AJ27=SUMAR!AJ9</f>
        <v>1</v>
      </c>
      <c r="AK30" s="266" t="b">
        <f>AK27=SUMAR!AK9</f>
        <v>1</v>
      </c>
      <c r="AL30" s="266" t="b">
        <f>ROUND(AL27,0)=ROUND(SUMAR!AL9,0)</f>
        <v>1</v>
      </c>
      <c r="AN30" s="266" t="b">
        <f>AN27=SUMAR!AN9</f>
        <v>1</v>
      </c>
      <c r="AO30" s="266" t="b">
        <f>AO27=SUMAR!AO9</f>
        <v>1</v>
      </c>
      <c r="AP30" s="266" t="b">
        <f>AP27=SUMAR!AP9</f>
        <v>1</v>
      </c>
      <c r="AQ30" s="266" t="b">
        <f>AQ27=SUMAR!AQ9</f>
        <v>1</v>
      </c>
      <c r="AR30" s="266" t="b">
        <f>ROUND(AR27,0)=ROUND(SUMAR!AR9,0)</f>
        <v>1</v>
      </c>
    </row>
    <row r="31" spans="1:47" ht="12.75" customHeight="1">
      <c r="E31" s="266" t="b">
        <f>E27=E6+E9+E12+E14+E18+E20+E22</f>
        <v>1</v>
      </c>
      <c r="F31" s="266" t="b">
        <f>F27=F6+F9+F12+F14+F18+F20+F22</f>
        <v>1</v>
      </c>
      <c r="G31" s="266" t="b">
        <f>G27=G6+G9+G12+G14+G18+G20+G22</f>
        <v>1</v>
      </c>
      <c r="H31" s="266" t="b">
        <f>H27=H6+H9+H12+H14+H18+H20+H22</f>
        <v>1</v>
      </c>
      <c r="I31" s="266"/>
      <c r="J31" s="266"/>
      <c r="K31" s="432"/>
      <c r="L31" s="266" t="b">
        <f>L27=L6+L9+L12+L14+L18+L20+L22</f>
        <v>1</v>
      </c>
      <c r="M31" s="266" t="b">
        <f>M27=M6+M9+M12+M14+M18+M20+M22</f>
        <v>1</v>
      </c>
      <c r="N31" s="266" t="b">
        <f>N27=N6+N9+N12+N14+N18+N20+N22</f>
        <v>1</v>
      </c>
      <c r="O31" s="266" t="b">
        <f>O27=O6+O9+O12+O14+O18+O20+O22</f>
        <v>1</v>
      </c>
      <c r="P31" s="266"/>
      <c r="Q31" s="266"/>
      <c r="R31" s="266" t="b">
        <f>R27=R6+R9+R12+R14+R18+R20+R22</f>
        <v>1</v>
      </c>
      <c r="S31" s="266" t="b">
        <f>S27=S6+S9+S12+S14+S18+S20+S22</f>
        <v>1</v>
      </c>
      <c r="T31" s="266" t="b">
        <f>T27=T6+T9+T12+T14+T18+T20+T22</f>
        <v>1</v>
      </c>
      <c r="U31" s="266" t="b">
        <f>U27=U6+U9+U12+U14+U18+U20+U22</f>
        <v>1</v>
      </c>
      <c r="V31" s="266"/>
      <c r="AG31" s="432"/>
    </row>
    <row r="32" spans="1:47" ht="14">
      <c r="G32" s="173"/>
      <c r="H32" s="173"/>
      <c r="I32" s="173"/>
      <c r="J32" s="173"/>
      <c r="K32" s="432"/>
      <c r="L32" s="173"/>
      <c r="M32" s="173"/>
      <c r="N32" s="173"/>
      <c r="O32" s="173"/>
      <c r="P32" s="173"/>
      <c r="Q32" s="173"/>
      <c r="R32" s="173"/>
      <c r="S32" s="173"/>
      <c r="T32" s="173"/>
      <c r="U32" s="173"/>
      <c r="V32" s="173"/>
      <c r="AG32" s="432"/>
    </row>
    <row r="33" spans="5:33" ht="14">
      <c r="E33" s="7"/>
      <c r="F33" s="173"/>
      <c r="G33" s="173">
        <f>G7++G10+G17+G25</f>
        <v>35248142950</v>
      </c>
      <c r="H33" s="173">
        <f>H7++H10+H25+H17</f>
        <v>60056</v>
      </c>
      <c r="I33" s="173"/>
      <c r="J33" s="173"/>
      <c r="K33" s="432"/>
      <c r="L33" s="173"/>
      <c r="M33" s="173"/>
      <c r="N33" s="173">
        <f>N7++N10+N17+N25</f>
        <v>35731543531</v>
      </c>
      <c r="O33" s="173">
        <f t="shared" ref="O33:U33" si="36">O7++O10+O25+O17</f>
        <v>59953</v>
      </c>
      <c r="P33" s="173"/>
      <c r="Q33" s="173"/>
      <c r="R33" s="173"/>
      <c r="S33" s="173"/>
      <c r="T33" s="173">
        <f>T7++T10+T17+T25</f>
        <v>35603736708.229996</v>
      </c>
      <c r="U33" s="173">
        <f t="shared" si="36"/>
        <v>54951.39</v>
      </c>
      <c r="V33" s="173"/>
      <c r="W33" s="7"/>
      <c r="AG33" s="432"/>
    </row>
    <row r="34" spans="5:33" ht="14">
      <c r="F34" s="173"/>
      <c r="G34" s="173"/>
      <c r="H34" s="173"/>
      <c r="I34" s="7"/>
      <c r="J34" s="7"/>
      <c r="K34" s="432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AG34" s="432"/>
    </row>
    <row r="35" spans="5:33" ht="14">
      <c r="E35" s="7"/>
      <c r="F35" s="173"/>
      <c r="G35" s="173"/>
      <c r="H35" s="173"/>
      <c r="I35" s="7"/>
      <c r="J35" s="7"/>
      <c r="K35" s="432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AG35" s="432"/>
    </row>
    <row r="36" spans="5:33" ht="14">
      <c r="E36" s="7"/>
      <c r="F36" s="7"/>
      <c r="G36" s="7"/>
      <c r="H36" s="7"/>
      <c r="I36" s="7"/>
      <c r="J36" s="7"/>
      <c r="K36" s="432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AG36" s="432"/>
    </row>
    <row r="37" spans="5:33" ht="14">
      <c r="K37" s="432"/>
      <c r="AG37" s="432"/>
    </row>
    <row r="38" spans="5:33" ht="14">
      <c r="K38" s="432"/>
      <c r="AG38" s="432"/>
    </row>
    <row r="39" spans="5:33" ht="14">
      <c r="K39" s="432"/>
      <c r="AG39" s="432"/>
    </row>
    <row r="40" spans="5:33" ht="14">
      <c r="K40" s="432"/>
      <c r="AG40" s="432"/>
    </row>
    <row r="41" spans="5:33" ht="14">
      <c r="K41" s="432"/>
      <c r="AG41" s="432"/>
    </row>
    <row r="42" spans="5:33" ht="14">
      <c r="K42" s="432"/>
      <c r="AG42" s="432"/>
    </row>
    <row r="43" spans="5:33" ht="14">
      <c r="K43" s="432"/>
      <c r="AG43" s="432"/>
    </row>
    <row r="44" spans="5:33" ht="14">
      <c r="K44" s="432"/>
      <c r="AG44" s="432"/>
    </row>
    <row r="45" spans="5:33" ht="14">
      <c r="K45" s="432"/>
      <c r="AG45" s="432"/>
    </row>
    <row r="46" spans="5:33" ht="14">
      <c r="K46" s="432"/>
      <c r="AG46" s="432"/>
    </row>
    <row r="47" spans="5:33" ht="14">
      <c r="K47" s="432"/>
      <c r="AG47" s="432"/>
    </row>
    <row r="48" spans="5:33" ht="14">
      <c r="K48" s="432"/>
      <c r="AG48" s="432"/>
    </row>
    <row r="49" spans="11:33" ht="15" thickBot="1">
      <c r="K49" s="432"/>
      <c r="AG49" s="432"/>
    </row>
    <row r="50" spans="11:33" ht="14">
      <c r="K50" s="188"/>
      <c r="AG50" s="188"/>
    </row>
    <row r="51" spans="11:33" ht="14">
      <c r="K51" s="433"/>
      <c r="AG51" s="433"/>
    </row>
    <row r="52" spans="11:33" ht="14" thickBot="1">
      <c r="K52" s="189"/>
      <c r="AG52" s="189"/>
    </row>
    <row r="54" spans="11:33">
      <c r="K54" s="9"/>
      <c r="AG54" s="9"/>
    </row>
    <row r="56" spans="11:33">
      <c r="K56" s="9"/>
      <c r="AG56" s="9"/>
    </row>
    <row r="58" spans="11:33">
      <c r="K58" s="9"/>
      <c r="AG58" s="9"/>
    </row>
  </sheetData>
  <mergeCells count="70">
    <mergeCell ref="X1:Y2"/>
    <mergeCell ref="X3:X5"/>
    <mergeCell ref="Y3:Y5"/>
    <mergeCell ref="AG1:AG2"/>
    <mergeCell ref="AG3:AG5"/>
    <mergeCell ref="AT1:AU2"/>
    <mergeCell ref="AT3:AT5"/>
    <mergeCell ref="AU3:AU5"/>
    <mergeCell ref="A1:A5"/>
    <mergeCell ref="B1:B5"/>
    <mergeCell ref="C1:C5"/>
    <mergeCell ref="K1:K2"/>
    <mergeCell ref="K3:K5"/>
    <mergeCell ref="A18:A25"/>
    <mergeCell ref="B18:B25"/>
    <mergeCell ref="A26:C28"/>
    <mergeCell ref="A6:A8"/>
    <mergeCell ref="B6:B8"/>
    <mergeCell ref="A9:A11"/>
    <mergeCell ref="B9:B11"/>
    <mergeCell ref="A12:A17"/>
    <mergeCell ref="B12:B17"/>
    <mergeCell ref="W3:W5"/>
    <mergeCell ref="L3:L5"/>
    <mergeCell ref="M3:N3"/>
    <mergeCell ref="O3:O5"/>
    <mergeCell ref="P3:P5"/>
    <mergeCell ref="Q3:Q5"/>
    <mergeCell ref="T4:T5"/>
    <mergeCell ref="R3:R5"/>
    <mergeCell ref="S3:T3"/>
    <mergeCell ref="U3:U5"/>
    <mergeCell ref="V3:V5"/>
    <mergeCell ref="AP4:AP5"/>
    <mergeCell ref="AA1:AF2"/>
    <mergeCell ref="AH1:AM2"/>
    <mergeCell ref="E1:J2"/>
    <mergeCell ref="L1:Q2"/>
    <mergeCell ref="R1:W2"/>
    <mergeCell ref="E3:E5"/>
    <mergeCell ref="F3:G3"/>
    <mergeCell ref="H3:H5"/>
    <mergeCell ref="I3:I5"/>
    <mergeCell ref="J3:J5"/>
    <mergeCell ref="F4:F5"/>
    <mergeCell ref="G4:G5"/>
    <mergeCell ref="M4:M5"/>
    <mergeCell ref="N4:N5"/>
    <mergeCell ref="S4:S5"/>
    <mergeCell ref="AB4:AB5"/>
    <mergeCell ref="AC4:AC5"/>
    <mergeCell ref="AI4:AI5"/>
    <mergeCell ref="AJ4:AJ5"/>
    <mergeCell ref="AO4:AO5"/>
    <mergeCell ref="AN1:AS2"/>
    <mergeCell ref="AA3:AA5"/>
    <mergeCell ref="AB3:AC3"/>
    <mergeCell ref="AD3:AD5"/>
    <mergeCell ref="AE3:AE5"/>
    <mergeCell ref="AF3:AF5"/>
    <mergeCell ref="AH3:AH5"/>
    <mergeCell ref="AI3:AJ3"/>
    <mergeCell ref="AK3:AK5"/>
    <mergeCell ref="AL3:AL5"/>
    <mergeCell ref="AM3:AM5"/>
    <mergeCell ref="AN3:AN5"/>
    <mergeCell ref="AO3:AP3"/>
    <mergeCell ref="AQ3:AQ5"/>
    <mergeCell ref="AR3:AR5"/>
    <mergeCell ref="AS3:AS5"/>
  </mergeCells>
  <printOptions horizontalCentered="1" verticalCentered="1"/>
  <pageMargins left="0.59055118110236227" right="0.51181102362204722" top="0.39370078740157483" bottom="0.19685039370078741" header="0.39370078740157483" footer="0.19685039370078741"/>
  <pageSetup paperSize="9" scale="55" pageOrder="overThenDown" orientation="landscape" r:id="rId1"/>
  <headerFooter alignWithMargins="0">
    <oddHeader>&amp;C&amp;"Arial CE,tučné"Přehled o vývoji počtu zaměstnanců a objemech mezd od roku  1 9 9 3
za   R O P O  c e l k e m
&amp;R&amp;A   -   &amp;F</oddHeader>
    <oddFooter>&amp;C6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List16"/>
  <dimension ref="A1:AU58"/>
  <sheetViews>
    <sheetView zoomScale="90" zoomScaleNormal="90" workbookViewId="0">
      <pane xSplit="3" ySplit="5" topLeftCell="T6" activePane="bottomRight" state="frozen"/>
      <selection activeCell="FZ61" sqref="FZ61"/>
      <selection pane="topRight" activeCell="FZ61" sqref="FZ61"/>
      <selection pane="bottomLeft" activeCell="FZ61" sqref="FZ61"/>
      <selection pane="bottomRight" activeCell="X1" sqref="X1:Y1048576"/>
    </sheetView>
  </sheetViews>
  <sheetFormatPr baseColWidth="10" defaultColWidth="11.5" defaultRowHeight="13"/>
  <cols>
    <col min="1" max="1" width="9.33203125" style="6" customWidth="1"/>
    <col min="2" max="2" width="54.5" style="6" customWidth="1"/>
    <col min="3" max="4" width="3.6640625" style="13" customWidth="1"/>
    <col min="5" max="5" width="19.1640625" style="6" customWidth="1"/>
    <col min="6" max="7" width="18.83203125" style="6" customWidth="1"/>
    <col min="8" max="8" width="15.5" style="6" customWidth="1"/>
    <col min="9" max="11" width="11.5" style="6" customWidth="1"/>
    <col min="12" max="12" width="18.33203125" style="6" customWidth="1"/>
    <col min="13" max="13" width="17" style="6" customWidth="1"/>
    <col min="14" max="14" width="19" style="6" customWidth="1"/>
    <col min="15" max="15" width="15.6640625" style="6" customWidth="1"/>
    <col min="16" max="17" width="9.1640625" style="6" customWidth="1"/>
    <col min="18" max="18" width="17.33203125" style="6" customWidth="1"/>
    <col min="19" max="19" width="15.83203125" style="6" customWidth="1"/>
    <col min="20" max="20" width="17.33203125" style="6" customWidth="1"/>
    <col min="21" max="21" width="14.5" style="6" customWidth="1"/>
    <col min="22" max="23" width="9.1640625" style="6" customWidth="1"/>
    <col min="26" max="26" width="9.1640625" customWidth="1"/>
    <col min="27" max="27" width="16.5" style="6" customWidth="1"/>
    <col min="28" max="28" width="16.6640625" style="6" customWidth="1"/>
    <col min="29" max="29" width="17.5" style="6" customWidth="1"/>
    <col min="30" max="30" width="11.5" style="6"/>
    <col min="31" max="31" width="13.83203125" style="6" customWidth="1"/>
    <col min="32" max="33" width="11.5" style="6"/>
    <col min="34" max="34" width="19" style="6" customWidth="1"/>
    <col min="35" max="35" width="16.83203125" style="6" customWidth="1"/>
    <col min="36" max="36" width="17.6640625" style="6" customWidth="1"/>
    <col min="37" max="39" width="11.5" style="6"/>
    <col min="40" max="40" width="18" style="6" customWidth="1"/>
    <col min="41" max="41" width="17.5" style="6" customWidth="1"/>
    <col min="42" max="42" width="17.1640625" style="6" customWidth="1"/>
    <col min="43" max="45" width="11.5" style="6"/>
  </cols>
  <sheetData>
    <row r="1" spans="1:47" ht="14" customHeight="1" thickTop="1">
      <c r="A1" s="323" t="s">
        <v>131</v>
      </c>
      <c r="B1" s="326" t="s">
        <v>171</v>
      </c>
      <c r="C1" s="28"/>
      <c r="D1" s="54"/>
      <c r="E1" s="310" t="s">
        <v>220</v>
      </c>
      <c r="F1" s="311"/>
      <c r="G1" s="311"/>
      <c r="H1" s="311"/>
      <c r="I1" s="311"/>
      <c r="J1" s="312"/>
      <c r="K1" s="370" t="s">
        <v>162</v>
      </c>
      <c r="L1" s="310" t="s">
        <v>221</v>
      </c>
      <c r="M1" s="311"/>
      <c r="N1" s="311"/>
      <c r="O1" s="311"/>
      <c r="P1" s="311"/>
      <c r="Q1" s="312"/>
      <c r="R1" s="310" t="s">
        <v>222</v>
      </c>
      <c r="S1" s="311"/>
      <c r="T1" s="311"/>
      <c r="U1" s="311"/>
      <c r="V1" s="311"/>
      <c r="W1" s="312"/>
      <c r="X1" s="372" t="s">
        <v>162</v>
      </c>
      <c r="Y1" s="373"/>
      <c r="AA1" s="310" t="s">
        <v>224</v>
      </c>
      <c r="AB1" s="311"/>
      <c r="AC1" s="311"/>
      <c r="AD1" s="311"/>
      <c r="AE1" s="311"/>
      <c r="AF1" s="312"/>
      <c r="AG1" s="370" t="s">
        <v>162</v>
      </c>
      <c r="AH1" s="310" t="s">
        <v>225</v>
      </c>
      <c r="AI1" s="311"/>
      <c r="AJ1" s="311"/>
      <c r="AK1" s="311"/>
      <c r="AL1" s="311"/>
      <c r="AM1" s="312"/>
      <c r="AN1" s="310" t="s">
        <v>226</v>
      </c>
      <c r="AO1" s="311"/>
      <c r="AP1" s="311"/>
      <c r="AQ1" s="311"/>
      <c r="AR1" s="311"/>
      <c r="AS1" s="312"/>
      <c r="AT1" s="372" t="s">
        <v>162</v>
      </c>
      <c r="AU1" s="373"/>
    </row>
    <row r="2" spans="1:47" ht="39" customHeight="1" thickBot="1">
      <c r="A2" s="324"/>
      <c r="B2" s="327"/>
      <c r="C2" s="29"/>
      <c r="D2" s="55"/>
      <c r="E2" s="313"/>
      <c r="F2" s="314"/>
      <c r="G2" s="314"/>
      <c r="H2" s="314"/>
      <c r="I2" s="314"/>
      <c r="J2" s="315"/>
      <c r="K2" s="371"/>
      <c r="L2" s="313"/>
      <c r="M2" s="314"/>
      <c r="N2" s="314"/>
      <c r="O2" s="314"/>
      <c r="P2" s="314"/>
      <c r="Q2" s="315"/>
      <c r="R2" s="313"/>
      <c r="S2" s="314"/>
      <c r="T2" s="314"/>
      <c r="U2" s="314"/>
      <c r="V2" s="314"/>
      <c r="W2" s="315"/>
      <c r="X2" s="374"/>
      <c r="Y2" s="375"/>
      <c r="AA2" s="313"/>
      <c r="AB2" s="314"/>
      <c r="AC2" s="314"/>
      <c r="AD2" s="314"/>
      <c r="AE2" s="314"/>
      <c r="AF2" s="315"/>
      <c r="AG2" s="371"/>
      <c r="AH2" s="313"/>
      <c r="AI2" s="314"/>
      <c r="AJ2" s="314"/>
      <c r="AK2" s="314"/>
      <c r="AL2" s="314"/>
      <c r="AM2" s="315"/>
      <c r="AN2" s="313"/>
      <c r="AO2" s="314"/>
      <c r="AP2" s="314"/>
      <c r="AQ2" s="314"/>
      <c r="AR2" s="314"/>
      <c r="AS2" s="315"/>
      <c r="AT2" s="374"/>
      <c r="AU2" s="375"/>
    </row>
    <row r="3" spans="1:47" ht="14" customHeight="1" thickBot="1">
      <c r="A3" s="324"/>
      <c r="B3" s="327"/>
      <c r="C3" s="30"/>
      <c r="D3" s="56"/>
      <c r="E3" s="318" t="s">
        <v>181</v>
      </c>
      <c r="F3" s="316" t="s">
        <v>1</v>
      </c>
      <c r="G3" s="317"/>
      <c r="H3" s="303" t="s">
        <v>134</v>
      </c>
      <c r="I3" s="303" t="s">
        <v>183</v>
      </c>
      <c r="J3" s="307" t="s">
        <v>135</v>
      </c>
      <c r="K3" s="382" t="s">
        <v>149</v>
      </c>
      <c r="L3" s="318" t="s">
        <v>181</v>
      </c>
      <c r="M3" s="316" t="s">
        <v>1</v>
      </c>
      <c r="N3" s="317"/>
      <c r="O3" s="303" t="s">
        <v>134</v>
      </c>
      <c r="P3" s="303" t="s">
        <v>183</v>
      </c>
      <c r="Q3" s="307" t="s">
        <v>135</v>
      </c>
      <c r="R3" s="318" t="s">
        <v>181</v>
      </c>
      <c r="S3" s="316" t="s">
        <v>1</v>
      </c>
      <c r="T3" s="317"/>
      <c r="U3" s="303" t="s">
        <v>134</v>
      </c>
      <c r="V3" s="303" t="s">
        <v>183</v>
      </c>
      <c r="W3" s="321" t="s">
        <v>135</v>
      </c>
      <c r="X3" s="376" t="s">
        <v>150</v>
      </c>
      <c r="Y3" s="379" t="s">
        <v>151</v>
      </c>
      <c r="AA3" s="318" t="s">
        <v>181</v>
      </c>
      <c r="AB3" s="316" t="s">
        <v>1</v>
      </c>
      <c r="AC3" s="317"/>
      <c r="AD3" s="303" t="s">
        <v>134</v>
      </c>
      <c r="AE3" s="303" t="s">
        <v>183</v>
      </c>
      <c r="AF3" s="307" t="s">
        <v>135</v>
      </c>
      <c r="AG3" s="382" t="s">
        <v>149</v>
      </c>
      <c r="AH3" s="318" t="s">
        <v>181</v>
      </c>
      <c r="AI3" s="316" t="s">
        <v>1</v>
      </c>
      <c r="AJ3" s="317"/>
      <c r="AK3" s="303" t="s">
        <v>134</v>
      </c>
      <c r="AL3" s="303" t="s">
        <v>183</v>
      </c>
      <c r="AM3" s="307" t="s">
        <v>135</v>
      </c>
      <c r="AN3" s="318" t="s">
        <v>181</v>
      </c>
      <c r="AO3" s="316" t="s">
        <v>1</v>
      </c>
      <c r="AP3" s="317"/>
      <c r="AQ3" s="303" t="s">
        <v>134</v>
      </c>
      <c r="AR3" s="303" t="s">
        <v>183</v>
      </c>
      <c r="AS3" s="307" t="s">
        <v>135</v>
      </c>
      <c r="AT3" s="376" t="s">
        <v>150</v>
      </c>
      <c r="AU3" s="379" t="s">
        <v>151</v>
      </c>
    </row>
    <row r="4" spans="1:47" ht="12.75" customHeight="1">
      <c r="A4" s="324"/>
      <c r="B4" s="327"/>
      <c r="C4" s="31"/>
      <c r="D4" s="57"/>
      <c r="E4" s="319"/>
      <c r="F4" s="301" t="s">
        <v>182</v>
      </c>
      <c r="G4" s="303" t="s">
        <v>133</v>
      </c>
      <c r="H4" s="306"/>
      <c r="I4" s="306"/>
      <c r="J4" s="308"/>
      <c r="K4" s="383"/>
      <c r="L4" s="319"/>
      <c r="M4" s="301" t="s">
        <v>182</v>
      </c>
      <c r="N4" s="303" t="s">
        <v>133</v>
      </c>
      <c r="O4" s="306"/>
      <c r="P4" s="306"/>
      <c r="Q4" s="308"/>
      <c r="R4" s="319"/>
      <c r="S4" s="301" t="s">
        <v>182</v>
      </c>
      <c r="T4" s="303" t="s">
        <v>133</v>
      </c>
      <c r="U4" s="306"/>
      <c r="V4" s="306"/>
      <c r="W4" s="322"/>
      <c r="X4" s="377"/>
      <c r="Y4" s="380"/>
      <c r="AA4" s="319"/>
      <c r="AB4" s="301" t="s">
        <v>182</v>
      </c>
      <c r="AC4" s="303" t="s">
        <v>133</v>
      </c>
      <c r="AD4" s="306"/>
      <c r="AE4" s="306"/>
      <c r="AF4" s="308"/>
      <c r="AG4" s="383"/>
      <c r="AH4" s="319"/>
      <c r="AI4" s="301" t="s">
        <v>182</v>
      </c>
      <c r="AJ4" s="303" t="s">
        <v>133</v>
      </c>
      <c r="AK4" s="306"/>
      <c r="AL4" s="306"/>
      <c r="AM4" s="308"/>
      <c r="AN4" s="319"/>
      <c r="AO4" s="301" t="s">
        <v>182</v>
      </c>
      <c r="AP4" s="303" t="s">
        <v>133</v>
      </c>
      <c r="AQ4" s="306"/>
      <c r="AR4" s="306"/>
      <c r="AS4" s="308"/>
      <c r="AT4" s="377"/>
      <c r="AU4" s="380"/>
    </row>
    <row r="5" spans="1:47" ht="14" customHeight="1" thickBot="1">
      <c r="A5" s="325"/>
      <c r="B5" s="328"/>
      <c r="C5" s="32"/>
      <c r="D5" s="56"/>
      <c r="E5" s="320"/>
      <c r="F5" s="302"/>
      <c r="G5" s="304"/>
      <c r="H5" s="304"/>
      <c r="I5" s="304"/>
      <c r="J5" s="309"/>
      <c r="K5" s="384"/>
      <c r="L5" s="320"/>
      <c r="M5" s="302"/>
      <c r="N5" s="304"/>
      <c r="O5" s="304"/>
      <c r="P5" s="304"/>
      <c r="Q5" s="309"/>
      <c r="R5" s="319"/>
      <c r="S5" s="305"/>
      <c r="T5" s="306"/>
      <c r="U5" s="306"/>
      <c r="V5" s="306"/>
      <c r="W5" s="322"/>
      <c r="X5" s="378"/>
      <c r="Y5" s="381"/>
      <c r="AA5" s="320"/>
      <c r="AB5" s="302"/>
      <c r="AC5" s="304"/>
      <c r="AD5" s="304"/>
      <c r="AE5" s="304"/>
      <c r="AF5" s="309"/>
      <c r="AG5" s="384"/>
      <c r="AH5" s="320"/>
      <c r="AI5" s="302"/>
      <c r="AJ5" s="304"/>
      <c r="AK5" s="304"/>
      <c r="AL5" s="304"/>
      <c r="AM5" s="309"/>
      <c r="AN5" s="319"/>
      <c r="AO5" s="305"/>
      <c r="AP5" s="306"/>
      <c r="AQ5" s="306"/>
      <c r="AR5" s="306"/>
      <c r="AS5" s="308"/>
      <c r="AT5" s="378"/>
      <c r="AU5" s="381"/>
    </row>
    <row r="6" spans="1:47" ht="45" customHeight="1" thickTop="1">
      <c r="A6" s="105"/>
      <c r="B6" s="106" t="s">
        <v>186</v>
      </c>
      <c r="C6" s="94"/>
      <c r="D6" s="101"/>
      <c r="E6" s="95">
        <v>19776225037</v>
      </c>
      <c r="F6" s="96">
        <v>764397029</v>
      </c>
      <c r="G6" s="96">
        <v>19011828008</v>
      </c>
      <c r="H6" s="280">
        <v>31774.65</v>
      </c>
      <c r="I6" s="96">
        <v>49861</v>
      </c>
      <c r="J6" s="97">
        <f>RANK(I6,I$6:I$14,0)</f>
        <v>1</v>
      </c>
      <c r="K6" s="38">
        <v>105.00012095115991</v>
      </c>
      <c r="L6" s="95">
        <v>20372700979</v>
      </c>
      <c r="M6" s="96">
        <v>910917647</v>
      </c>
      <c r="N6" s="96">
        <v>19461783332</v>
      </c>
      <c r="O6" s="96">
        <v>31908.07</v>
      </c>
      <c r="P6" s="96">
        <v>50828</v>
      </c>
      <c r="Q6" s="97">
        <f>RANK(P6,P$6:P$14,0)</f>
        <v>1</v>
      </c>
      <c r="R6" s="112">
        <v>19773828123.209999</v>
      </c>
      <c r="S6" s="113">
        <v>816982891.36000001</v>
      </c>
      <c r="T6" s="113">
        <v>18956845231.849998</v>
      </c>
      <c r="U6" s="113">
        <v>27268.3</v>
      </c>
      <c r="V6" s="113">
        <v>57933</v>
      </c>
      <c r="W6" s="147">
        <f>RANK(V6,V$6:V$14,0)</f>
        <v>1</v>
      </c>
      <c r="AA6" s="95">
        <v>21421752240</v>
      </c>
      <c r="AB6" s="96">
        <v>898233840</v>
      </c>
      <c r="AC6" s="96">
        <v>20523518400</v>
      </c>
      <c r="AD6" s="280">
        <v>32026.386666666669</v>
      </c>
      <c r="AE6" s="96">
        <v>53403</v>
      </c>
      <c r="AF6" s="97">
        <f>RANK(AE6,AE$6:AE$14,0)</f>
        <v>1</v>
      </c>
      <c r="AG6" s="38">
        <v>105.00012095115991</v>
      </c>
      <c r="AH6" s="95">
        <v>21401083593</v>
      </c>
      <c r="AI6" s="96">
        <v>931097552</v>
      </c>
      <c r="AJ6" s="96">
        <v>20469986041</v>
      </c>
      <c r="AK6" s="96">
        <v>31199.45</v>
      </c>
      <c r="AL6" s="96">
        <v>54675</v>
      </c>
      <c r="AM6" s="97">
        <f>RANK(AL6,AL$6:AL$14,0)</f>
        <v>1</v>
      </c>
      <c r="AN6" s="112">
        <v>21151699564.790001</v>
      </c>
      <c r="AO6" s="113">
        <v>844997695.75</v>
      </c>
      <c r="AP6" s="113">
        <v>20306701869.039997</v>
      </c>
      <c r="AQ6" s="113">
        <v>27567.670000000002</v>
      </c>
      <c r="AR6" s="113">
        <v>61384</v>
      </c>
      <c r="AS6" s="114">
        <f>RANK(AR6,AR$6:AR$14,0)</f>
        <v>1</v>
      </c>
    </row>
    <row r="7" spans="1:47" ht="45" customHeight="1">
      <c r="A7" s="105"/>
      <c r="B7" s="106" t="s">
        <v>172</v>
      </c>
      <c r="C7" s="94"/>
      <c r="D7" s="101"/>
      <c r="E7" s="95">
        <v>23434893916</v>
      </c>
      <c r="F7" s="96">
        <v>140555109</v>
      </c>
      <c r="G7" s="96">
        <v>23294338807</v>
      </c>
      <c r="H7" s="280">
        <v>50898.19</v>
      </c>
      <c r="I7" s="99">
        <v>38139</v>
      </c>
      <c r="J7" s="97">
        <f t="shared" ref="J7:J14" si="0">RANK(I7,I$6:I$14,0)</f>
        <v>9</v>
      </c>
      <c r="K7" s="26">
        <v>104.99962314398412</v>
      </c>
      <c r="L7" s="98">
        <v>24875105127</v>
      </c>
      <c r="M7" s="96">
        <v>334242406</v>
      </c>
      <c r="N7" s="96">
        <v>24540862721</v>
      </c>
      <c r="O7" s="96">
        <v>49973.11</v>
      </c>
      <c r="P7" s="99">
        <v>40923</v>
      </c>
      <c r="Q7" s="97">
        <f t="shared" ref="Q7:Q14" si="1">RANK(P7,P$6:P$14,0)</f>
        <v>9</v>
      </c>
      <c r="R7" s="98">
        <v>24888370134.75</v>
      </c>
      <c r="S7" s="96">
        <v>350099183</v>
      </c>
      <c r="T7" s="96">
        <v>24538270951.75</v>
      </c>
      <c r="U7" s="96">
        <v>47614.44</v>
      </c>
      <c r="V7" s="99">
        <v>42946</v>
      </c>
      <c r="W7" s="229">
        <f t="shared" ref="W7:W13" si="2">RANK(V7,V$6:V$14,0)</f>
        <v>9</v>
      </c>
      <c r="AA7" s="95">
        <v>25118475714</v>
      </c>
      <c r="AB7" s="96">
        <v>161633486</v>
      </c>
      <c r="AC7" s="96">
        <v>24956842228</v>
      </c>
      <c r="AD7" s="280">
        <v>50159.42</v>
      </c>
      <c r="AE7" s="99">
        <v>41463</v>
      </c>
      <c r="AF7" s="97">
        <f t="shared" ref="AF7:AF14" si="3">RANK(AE7,AE$6:AE$14,0)</f>
        <v>9</v>
      </c>
      <c r="AG7" s="26">
        <v>104.99962314398412</v>
      </c>
      <c r="AH7" s="98">
        <v>25740898536</v>
      </c>
      <c r="AI7" s="96">
        <v>191904850</v>
      </c>
      <c r="AJ7" s="96">
        <v>25548993686</v>
      </c>
      <c r="AK7" s="96">
        <v>49782.2</v>
      </c>
      <c r="AL7" s="99">
        <v>42768</v>
      </c>
      <c r="AM7" s="97">
        <f t="shared" ref="AM7" si="4">RANK(AL7,AL$6:AL$14,0)</f>
        <v>9</v>
      </c>
      <c r="AN7" s="98">
        <v>25871024330.860001</v>
      </c>
      <c r="AO7" s="96">
        <v>202139322</v>
      </c>
      <c r="AP7" s="96">
        <v>25668885008.860001</v>
      </c>
      <c r="AQ7" s="96">
        <v>47010.37999999999</v>
      </c>
      <c r="AR7" s="99">
        <v>45502</v>
      </c>
      <c r="AS7" s="97">
        <f t="shared" ref="AS7:AS13" si="5">RANK(AR7,AR$6:AR$14,0)</f>
        <v>9</v>
      </c>
    </row>
    <row r="8" spans="1:47" ht="45" customHeight="1">
      <c r="A8" s="105"/>
      <c r="B8" s="106" t="s">
        <v>175</v>
      </c>
      <c r="C8" s="94"/>
      <c r="D8" s="101"/>
      <c r="E8" s="275">
        <f>E10-E9</f>
        <v>43211118953</v>
      </c>
      <c r="F8" s="275">
        <f t="shared" ref="F8:H8" si="6">F10-F9</f>
        <v>904952138</v>
      </c>
      <c r="G8" s="275">
        <f t="shared" si="6"/>
        <v>42306166815</v>
      </c>
      <c r="H8" s="275">
        <f t="shared" si="6"/>
        <v>82672.839999999967</v>
      </c>
      <c r="I8" s="276">
        <f>G8/H8/12</f>
        <v>42644.161023741304</v>
      </c>
      <c r="J8" s="97">
        <f t="shared" si="0"/>
        <v>8</v>
      </c>
      <c r="K8" s="26">
        <v>105.000406316873</v>
      </c>
      <c r="L8" s="275">
        <f>L10-L9</f>
        <v>45247806106</v>
      </c>
      <c r="M8" s="275">
        <f t="shared" ref="M8" si="7">M10-M9</f>
        <v>1245160053</v>
      </c>
      <c r="N8" s="275">
        <f t="shared" ref="N8" si="8">N10-N9</f>
        <v>44002646053</v>
      </c>
      <c r="O8" s="275">
        <f t="shared" ref="O8" si="9">O10-O9</f>
        <v>81881.180000000008</v>
      </c>
      <c r="P8" s="276">
        <f>N8/O8/12</f>
        <v>44783.027932466684</v>
      </c>
      <c r="Q8" s="97">
        <f>RANK(P8,P$6:P$14,0)</f>
        <v>5</v>
      </c>
      <c r="R8" s="275">
        <f>R10-R9</f>
        <v>44662198257.960007</v>
      </c>
      <c r="S8" s="275">
        <f t="shared" ref="S8" si="10">S10-S9</f>
        <v>1167082074.3600006</v>
      </c>
      <c r="T8" s="275">
        <f t="shared" ref="T8" si="11">T10-T9</f>
        <v>43495116183.599998</v>
      </c>
      <c r="U8" s="275">
        <f t="shared" ref="U8" si="12">U10-U9</f>
        <v>74882.739999999991</v>
      </c>
      <c r="V8" s="276">
        <f>T8/U8/12</f>
        <v>48403.584261206262</v>
      </c>
      <c r="W8" s="229">
        <f t="shared" si="2"/>
        <v>5</v>
      </c>
      <c r="AA8" s="275">
        <f>AA10-AA9</f>
        <v>46540227954</v>
      </c>
      <c r="AB8" s="275">
        <f t="shared" ref="AB8:AD8" si="13">AB10-AB9</f>
        <v>1059867326</v>
      </c>
      <c r="AC8" s="275">
        <f t="shared" si="13"/>
        <v>45480360628</v>
      </c>
      <c r="AD8" s="275">
        <f t="shared" si="13"/>
        <v>82185.806666666671</v>
      </c>
      <c r="AE8" s="276">
        <f>AC8/AD8/12</f>
        <v>46115.384225710994</v>
      </c>
      <c r="AF8" s="97">
        <f t="shared" si="3"/>
        <v>7</v>
      </c>
      <c r="AG8" s="26">
        <v>105.000406316873</v>
      </c>
      <c r="AH8" s="275">
        <f>AH10-AH9</f>
        <v>47141982129</v>
      </c>
      <c r="AI8" s="275">
        <f t="shared" ref="AI8:AK8" si="14">AI10-AI9</f>
        <v>1123002402</v>
      </c>
      <c r="AJ8" s="275">
        <f t="shared" si="14"/>
        <v>46018979727</v>
      </c>
      <c r="AK8" s="275">
        <f t="shared" si="14"/>
        <v>80981.650000000038</v>
      </c>
      <c r="AL8" s="276">
        <f>AJ8/AK8/12</f>
        <v>47355.357383431903</v>
      </c>
      <c r="AM8" s="97">
        <f>RANK(AL8,AL$6:AL$14,0)</f>
        <v>5</v>
      </c>
      <c r="AN8" s="275">
        <f>AN10-AN9</f>
        <v>47022723895.650017</v>
      </c>
      <c r="AO8" s="275">
        <f t="shared" ref="AO8:AQ8" si="15">AO10-AO9</f>
        <v>1047137017.75</v>
      </c>
      <c r="AP8" s="275">
        <f t="shared" si="15"/>
        <v>45975586877.900009</v>
      </c>
      <c r="AQ8" s="275">
        <f t="shared" si="15"/>
        <v>74578.050000000017</v>
      </c>
      <c r="AR8" s="276">
        <f>AP8/AQ8/12</f>
        <v>51373.009974002627</v>
      </c>
      <c r="AS8" s="97">
        <f t="shared" si="5"/>
        <v>5</v>
      </c>
    </row>
    <row r="9" spans="1:47" ht="45" customHeight="1">
      <c r="A9" s="105"/>
      <c r="B9" s="107" t="s">
        <v>176</v>
      </c>
      <c r="C9" s="94"/>
      <c r="D9" s="101"/>
      <c r="E9" s="157">
        <v>54626813028</v>
      </c>
      <c r="F9" s="155">
        <v>6496908919</v>
      </c>
      <c r="G9" s="155">
        <v>48129904109</v>
      </c>
      <c r="H9" s="281">
        <v>86645</v>
      </c>
      <c r="I9" s="156">
        <v>46290</v>
      </c>
      <c r="J9" s="97">
        <f t="shared" si="0"/>
        <v>2</v>
      </c>
      <c r="K9" s="26">
        <v>104.27571221632061</v>
      </c>
      <c r="L9" s="98">
        <v>55905003254</v>
      </c>
      <c r="M9" s="96">
        <v>6931246962</v>
      </c>
      <c r="N9" s="96">
        <v>48973756292</v>
      </c>
      <c r="O9" s="96">
        <v>86275.83</v>
      </c>
      <c r="P9" s="99">
        <v>47303</v>
      </c>
      <c r="Q9" s="97">
        <f t="shared" si="1"/>
        <v>2</v>
      </c>
      <c r="R9" s="98">
        <v>55831496112.73999</v>
      </c>
      <c r="S9" s="96">
        <v>7025170023.9099998</v>
      </c>
      <c r="T9" s="96">
        <v>48806326088.829994</v>
      </c>
      <c r="U9" s="96">
        <v>80444.919999999984</v>
      </c>
      <c r="V9" s="99">
        <v>50559</v>
      </c>
      <c r="W9" s="229">
        <f t="shared" si="2"/>
        <v>2</v>
      </c>
      <c r="AA9" s="157">
        <v>59190335816</v>
      </c>
      <c r="AB9" s="155">
        <v>6957563875</v>
      </c>
      <c r="AC9" s="155">
        <v>52232771941</v>
      </c>
      <c r="AD9" s="281">
        <v>86188</v>
      </c>
      <c r="AE9" s="156">
        <v>50503</v>
      </c>
      <c r="AF9" s="97">
        <f t="shared" si="3"/>
        <v>2</v>
      </c>
      <c r="AG9" s="26">
        <v>104.27571221632061</v>
      </c>
      <c r="AH9" s="98">
        <v>60135805115</v>
      </c>
      <c r="AI9" s="96">
        <v>7429978126</v>
      </c>
      <c r="AJ9" s="96">
        <v>52705826989</v>
      </c>
      <c r="AK9" s="96">
        <v>86836.49</v>
      </c>
      <c r="AL9" s="99">
        <v>50580</v>
      </c>
      <c r="AM9" s="97">
        <f t="shared" ref="AM9:AM14" si="16">RANK(AL9,AL$6:AL$14,0)</f>
        <v>2</v>
      </c>
      <c r="AN9" s="98">
        <v>59956123120.079994</v>
      </c>
      <c r="AO9" s="96">
        <v>7541860603.1600018</v>
      </c>
      <c r="AP9" s="96">
        <v>52414262516.919998</v>
      </c>
      <c r="AQ9" s="96">
        <v>79987.989999999991</v>
      </c>
      <c r="AR9" s="99">
        <v>54606</v>
      </c>
      <c r="AS9" s="97">
        <f t="shared" si="5"/>
        <v>2</v>
      </c>
    </row>
    <row r="10" spans="1:47" ht="45" customHeight="1">
      <c r="A10" s="105"/>
      <c r="B10" s="106" t="s">
        <v>173</v>
      </c>
      <c r="C10" s="94"/>
      <c r="D10" s="101"/>
      <c r="E10" s="95">
        <v>97837931981</v>
      </c>
      <c r="F10" s="96">
        <v>7401861057</v>
      </c>
      <c r="G10" s="96">
        <v>90436070924</v>
      </c>
      <c r="H10" s="280">
        <v>169317.83999999997</v>
      </c>
      <c r="I10" s="156">
        <v>44510</v>
      </c>
      <c r="J10" s="97">
        <f t="shared" si="0"/>
        <v>3</v>
      </c>
      <c r="K10" s="26">
        <v>106.09036107140636</v>
      </c>
      <c r="L10" s="98">
        <v>101152809360</v>
      </c>
      <c r="M10" s="96">
        <v>8176407015</v>
      </c>
      <c r="N10" s="96">
        <v>92976402345</v>
      </c>
      <c r="O10" s="96">
        <v>168157.01</v>
      </c>
      <c r="P10" s="99">
        <v>46076</v>
      </c>
      <c r="Q10" s="97">
        <f t="shared" si="1"/>
        <v>3</v>
      </c>
      <c r="R10" s="98">
        <v>100493694370.7</v>
      </c>
      <c r="S10" s="96">
        <v>8192252098.2700005</v>
      </c>
      <c r="T10" s="96">
        <v>92301442272.429993</v>
      </c>
      <c r="U10" s="96">
        <v>155327.65999999997</v>
      </c>
      <c r="V10" s="99">
        <v>49520</v>
      </c>
      <c r="W10" s="229">
        <f t="shared" si="2"/>
        <v>3</v>
      </c>
      <c r="AA10" s="95">
        <v>105730563770</v>
      </c>
      <c r="AB10" s="96">
        <v>8017431201</v>
      </c>
      <c r="AC10" s="96">
        <v>97713132569</v>
      </c>
      <c r="AD10" s="280">
        <v>168373.80666666667</v>
      </c>
      <c r="AE10" s="156">
        <v>48361</v>
      </c>
      <c r="AF10" s="97">
        <f t="shared" si="3"/>
        <v>3</v>
      </c>
      <c r="AG10" s="26">
        <v>106.09036107140636</v>
      </c>
      <c r="AH10" s="98">
        <v>107277787244</v>
      </c>
      <c r="AI10" s="96">
        <v>8552980528</v>
      </c>
      <c r="AJ10" s="96">
        <v>98724806716</v>
      </c>
      <c r="AK10" s="96">
        <v>167818.14000000004</v>
      </c>
      <c r="AL10" s="99">
        <v>49024</v>
      </c>
      <c r="AM10" s="97">
        <f t="shared" si="16"/>
        <v>3</v>
      </c>
      <c r="AN10" s="98">
        <v>106978847015.73001</v>
      </c>
      <c r="AO10" s="96">
        <v>8588997620.9100018</v>
      </c>
      <c r="AP10" s="96">
        <v>98389849394.820007</v>
      </c>
      <c r="AQ10" s="96">
        <v>154566.04</v>
      </c>
      <c r="AR10" s="99">
        <v>53046</v>
      </c>
      <c r="AS10" s="97">
        <f t="shared" si="5"/>
        <v>3</v>
      </c>
    </row>
    <row r="11" spans="1:47" ht="45" customHeight="1" thickBot="1">
      <c r="A11" s="108"/>
      <c r="B11" s="109" t="s">
        <v>177</v>
      </c>
      <c r="C11" s="127"/>
      <c r="D11" s="101"/>
      <c r="E11" s="102">
        <v>24528100859</v>
      </c>
      <c r="F11" s="103">
        <v>2135667567</v>
      </c>
      <c r="G11" s="103">
        <v>22392433292</v>
      </c>
      <c r="H11" s="282">
        <v>42649.440000000002</v>
      </c>
      <c r="I11" s="125">
        <v>43753</v>
      </c>
      <c r="J11" s="104">
        <f t="shared" si="0"/>
        <v>5</v>
      </c>
      <c r="K11" s="26">
        <v>106.27503776187038</v>
      </c>
      <c r="L11" s="124">
        <v>25149457574</v>
      </c>
      <c r="M11" s="103">
        <v>2274922691</v>
      </c>
      <c r="N11" s="103">
        <v>22874534883</v>
      </c>
      <c r="O11" s="103">
        <v>42777.340000000004</v>
      </c>
      <c r="P11" s="125">
        <v>44561</v>
      </c>
      <c r="Q11" s="104">
        <f t="shared" si="1"/>
        <v>6</v>
      </c>
      <c r="R11" s="153">
        <v>24373305936.629997</v>
      </c>
      <c r="S11" s="150">
        <v>2183582756.75</v>
      </c>
      <c r="T11" s="150">
        <v>22189723179.879997</v>
      </c>
      <c r="U11" s="150">
        <v>40361.349999999984</v>
      </c>
      <c r="V11" s="154">
        <v>45815</v>
      </c>
      <c r="W11" s="151">
        <f t="shared" si="2"/>
        <v>6</v>
      </c>
      <c r="AA11" s="102">
        <v>26814923228</v>
      </c>
      <c r="AB11" s="103">
        <v>2259877773</v>
      </c>
      <c r="AC11" s="103">
        <v>24555045455</v>
      </c>
      <c r="AD11" s="282">
        <v>43813.06</v>
      </c>
      <c r="AE11" s="125">
        <v>46704</v>
      </c>
      <c r="AF11" s="104">
        <f t="shared" si="3"/>
        <v>6</v>
      </c>
      <c r="AG11" s="26">
        <v>106.27503776187038</v>
      </c>
      <c r="AH11" s="124">
        <v>26437387831</v>
      </c>
      <c r="AI11" s="103">
        <v>2289489677</v>
      </c>
      <c r="AJ11" s="103">
        <v>24147898154</v>
      </c>
      <c r="AK11" s="103">
        <v>44017.9</v>
      </c>
      <c r="AL11" s="125">
        <v>45716</v>
      </c>
      <c r="AM11" s="104">
        <f t="shared" si="16"/>
        <v>7</v>
      </c>
      <c r="AN11" s="153">
        <v>26506009886.749996</v>
      </c>
      <c r="AO11" s="150">
        <v>2237781929.3900003</v>
      </c>
      <c r="AP11" s="150">
        <v>24268227957.359997</v>
      </c>
      <c r="AQ11" s="150">
        <v>41060.250000000007</v>
      </c>
      <c r="AR11" s="154">
        <v>49253</v>
      </c>
      <c r="AS11" s="234">
        <f t="shared" si="5"/>
        <v>6</v>
      </c>
    </row>
    <row r="12" spans="1:47" ht="45" customHeight="1">
      <c r="A12" s="110"/>
      <c r="B12" s="111" t="s">
        <v>178</v>
      </c>
      <c r="C12" s="128"/>
      <c r="D12" s="129"/>
      <c r="E12" s="112">
        <v>122366032840</v>
      </c>
      <c r="F12" s="113">
        <v>9537528624</v>
      </c>
      <c r="G12" s="113">
        <v>112828504216</v>
      </c>
      <c r="H12" s="283">
        <v>211967.28</v>
      </c>
      <c r="I12" s="131">
        <v>44358</v>
      </c>
      <c r="J12" s="114">
        <f t="shared" si="0"/>
        <v>4</v>
      </c>
      <c r="K12" s="26">
        <v>104.83270488282182</v>
      </c>
      <c r="L12" s="130">
        <v>126302266934</v>
      </c>
      <c r="M12" s="113">
        <v>10451329706</v>
      </c>
      <c r="N12" s="113">
        <v>115850937228</v>
      </c>
      <c r="O12" s="113">
        <v>210934.35000000006</v>
      </c>
      <c r="P12" s="131">
        <v>45769</v>
      </c>
      <c r="Q12" s="114">
        <f t="shared" si="1"/>
        <v>4</v>
      </c>
      <c r="R12" s="130">
        <v>124867000307.32997</v>
      </c>
      <c r="S12" s="113">
        <v>10375834855.019999</v>
      </c>
      <c r="T12" s="113">
        <v>114491165452.30998</v>
      </c>
      <c r="U12" s="113">
        <v>195689.00999999995</v>
      </c>
      <c r="V12" s="131">
        <v>48756</v>
      </c>
      <c r="W12" s="147">
        <f t="shared" si="2"/>
        <v>4</v>
      </c>
      <c r="AA12" s="112">
        <v>132545486998</v>
      </c>
      <c r="AB12" s="113">
        <v>10277308974</v>
      </c>
      <c r="AC12" s="113">
        <v>122268178024</v>
      </c>
      <c r="AD12" s="283">
        <v>212186.86666666664</v>
      </c>
      <c r="AE12" s="131">
        <v>48019</v>
      </c>
      <c r="AF12" s="114">
        <f t="shared" si="3"/>
        <v>4</v>
      </c>
      <c r="AG12" s="26">
        <v>104.83270488282182</v>
      </c>
      <c r="AH12" s="130">
        <v>133715175075</v>
      </c>
      <c r="AI12" s="113">
        <v>10842470205</v>
      </c>
      <c r="AJ12" s="113">
        <v>122872704870</v>
      </c>
      <c r="AK12" s="113">
        <v>211836.04000000004</v>
      </c>
      <c r="AL12" s="131">
        <v>48336</v>
      </c>
      <c r="AM12" s="114">
        <f t="shared" si="16"/>
        <v>4</v>
      </c>
      <c r="AN12" s="130">
        <v>133484856902.48001</v>
      </c>
      <c r="AO12" s="113">
        <v>10826779550.300001</v>
      </c>
      <c r="AP12" s="113">
        <v>122658077352.17999</v>
      </c>
      <c r="AQ12" s="113">
        <v>195626.28999999998</v>
      </c>
      <c r="AR12" s="131">
        <v>52250</v>
      </c>
      <c r="AS12" s="114">
        <f t="shared" si="5"/>
        <v>4</v>
      </c>
    </row>
    <row r="13" spans="1:47" ht="45" customHeight="1" thickBot="1">
      <c r="A13" s="115"/>
      <c r="B13" s="116" t="s">
        <v>174</v>
      </c>
      <c r="C13" s="94"/>
      <c r="D13" s="101"/>
      <c r="E13" s="102">
        <v>144200728942</v>
      </c>
      <c r="F13" s="103">
        <v>1339637938</v>
      </c>
      <c r="G13" s="103">
        <v>142861091004</v>
      </c>
      <c r="H13" s="282">
        <v>275623.86</v>
      </c>
      <c r="I13" s="125">
        <v>43193</v>
      </c>
      <c r="J13" s="234">
        <f t="shared" si="0"/>
        <v>7</v>
      </c>
      <c r="K13" s="26">
        <v>106.10762150114337</v>
      </c>
      <c r="L13" s="153">
        <v>147720663557</v>
      </c>
      <c r="M13" s="150">
        <v>1713283176</v>
      </c>
      <c r="N13" s="150">
        <v>146007380381</v>
      </c>
      <c r="O13" s="150">
        <v>285436.42999999993</v>
      </c>
      <c r="P13" s="154">
        <v>42627</v>
      </c>
      <c r="Q13" s="234">
        <f t="shared" si="1"/>
        <v>8</v>
      </c>
      <c r="R13" s="153">
        <v>153692636491.79999</v>
      </c>
      <c r="S13" s="150">
        <v>3413360520.1300001</v>
      </c>
      <c r="T13" s="150">
        <v>150279275971.66998</v>
      </c>
      <c r="U13" s="150">
        <v>291389.22000000003</v>
      </c>
      <c r="V13" s="154">
        <v>42978</v>
      </c>
      <c r="W13" s="151">
        <f t="shared" si="2"/>
        <v>8</v>
      </c>
      <c r="AA13" s="102">
        <v>154277294189</v>
      </c>
      <c r="AB13" s="103">
        <v>1527922274</v>
      </c>
      <c r="AC13" s="103">
        <v>152749371915</v>
      </c>
      <c r="AD13" s="282">
        <v>276773.64999999997</v>
      </c>
      <c r="AE13" s="154">
        <v>45991</v>
      </c>
      <c r="AF13" s="234">
        <f t="shared" si="3"/>
        <v>8</v>
      </c>
      <c r="AG13" s="26">
        <v>106.10762150114337</v>
      </c>
      <c r="AH13" s="153">
        <v>158910919676</v>
      </c>
      <c r="AI13" s="150">
        <v>1730344838</v>
      </c>
      <c r="AJ13" s="150">
        <v>157180574838</v>
      </c>
      <c r="AK13" s="150">
        <v>288708.40000000008</v>
      </c>
      <c r="AL13" s="154">
        <v>45369</v>
      </c>
      <c r="AM13" s="234">
        <f t="shared" si="16"/>
        <v>8</v>
      </c>
      <c r="AN13" s="153">
        <v>165030554369.67999</v>
      </c>
      <c r="AO13" s="150">
        <v>3524518533.8400002</v>
      </c>
      <c r="AP13" s="150">
        <v>161506035835.84</v>
      </c>
      <c r="AQ13" s="150">
        <v>295351.12000000005</v>
      </c>
      <c r="AR13" s="154">
        <v>45569</v>
      </c>
      <c r="AS13" s="234">
        <f t="shared" si="5"/>
        <v>8</v>
      </c>
    </row>
    <row r="14" spans="1:47" ht="46.5" customHeight="1" thickBot="1">
      <c r="A14" s="132"/>
      <c r="B14" s="133" t="s">
        <v>170</v>
      </c>
      <c r="C14" s="134"/>
      <c r="D14" s="135"/>
      <c r="E14" s="267">
        <f>E12+E13</f>
        <v>266566761782</v>
      </c>
      <c r="F14" s="268">
        <f>F12+F13</f>
        <v>10877166562</v>
      </c>
      <c r="G14" s="268">
        <f>G12+G13</f>
        <v>255689595220</v>
      </c>
      <c r="H14" s="279">
        <f>H12+H13</f>
        <v>487591.14</v>
      </c>
      <c r="I14" s="126">
        <f>G14/H14/12</f>
        <v>43699.453333654361</v>
      </c>
      <c r="J14" s="149">
        <f t="shared" si="0"/>
        <v>6</v>
      </c>
      <c r="K14" s="26">
        <v>108.41892940263772</v>
      </c>
      <c r="L14" s="230">
        <f>L12+L13</f>
        <v>274022930491</v>
      </c>
      <c r="M14" s="231">
        <f>M12+M13</f>
        <v>12164612882</v>
      </c>
      <c r="N14" s="231">
        <f>N12+N13</f>
        <v>261858317609</v>
      </c>
      <c r="O14" s="232">
        <f>O12+O13</f>
        <v>496370.78</v>
      </c>
      <c r="P14" s="152">
        <f>N14/O14/12</f>
        <v>43962.149559683319</v>
      </c>
      <c r="Q14" s="149">
        <f t="shared" si="1"/>
        <v>7</v>
      </c>
      <c r="R14" s="148">
        <f>R12+R13</f>
        <v>278559636799.12994</v>
      </c>
      <c r="S14" s="152">
        <f>S12+S13</f>
        <v>13789195375.149998</v>
      </c>
      <c r="T14" s="152">
        <f>T12+T13</f>
        <v>264770441423.97998</v>
      </c>
      <c r="U14" s="152">
        <f>U12+U13</f>
        <v>487078.23</v>
      </c>
      <c r="V14" s="152">
        <f>T14/U14/12</f>
        <v>45299.09590087476</v>
      </c>
      <c r="W14" s="233">
        <f>RANK(V14,V$6:V$14,0)</f>
        <v>7</v>
      </c>
      <c r="AA14" s="267">
        <f>AA12+AA13</f>
        <v>286822781187</v>
      </c>
      <c r="AB14" s="268">
        <f>AB12+AB13</f>
        <v>11805231248</v>
      </c>
      <c r="AC14" s="268">
        <f>AC12+AC13</f>
        <v>275017549939</v>
      </c>
      <c r="AD14" s="279">
        <f>AD12+AD13</f>
        <v>488960.5166666666</v>
      </c>
      <c r="AE14" s="152">
        <f>IF(AD14=0,0,ROUND(AC14/AD14/12,0))</f>
        <v>46871</v>
      </c>
      <c r="AF14" s="149">
        <f t="shared" si="3"/>
        <v>5</v>
      </c>
      <c r="AG14" s="26">
        <v>108.41892940263772</v>
      </c>
      <c r="AH14" s="230">
        <f>AH12+AH13</f>
        <v>292626094751</v>
      </c>
      <c r="AI14" s="231">
        <f>AI12+AI13</f>
        <v>12572815043</v>
      </c>
      <c r="AJ14" s="231">
        <f>AJ12+AJ13</f>
        <v>280053279708</v>
      </c>
      <c r="AK14" s="232">
        <f>AK12+AK13</f>
        <v>500544.44000000012</v>
      </c>
      <c r="AL14" s="152">
        <f>IF(AK14=0,0,ROUND(AJ14/AK14/12,0))</f>
        <v>46625</v>
      </c>
      <c r="AM14" s="149">
        <f t="shared" si="16"/>
        <v>6</v>
      </c>
      <c r="AN14" s="148">
        <f>AN12+AN13</f>
        <v>298515411272.16003</v>
      </c>
      <c r="AO14" s="152">
        <f>AO12+AO13</f>
        <v>14351298084.140001</v>
      </c>
      <c r="AP14" s="152">
        <f>AP12+AP13</f>
        <v>284164113188.02002</v>
      </c>
      <c r="AQ14" s="152">
        <f>AQ12+AQ13</f>
        <v>490977.41000000003</v>
      </c>
      <c r="AR14" s="152">
        <f>IF(AQ14=0,0,ROUND(AP14/AQ14/12,0))</f>
        <v>48231</v>
      </c>
      <c r="AS14" s="149">
        <f>RANK(AR14,AR$6:AR$14,0)</f>
        <v>7</v>
      </c>
    </row>
    <row r="15" spans="1:47" ht="14">
      <c r="K15" s="26"/>
      <c r="AG15" s="26"/>
    </row>
    <row r="16" spans="1:47" ht="14">
      <c r="A16" s="9"/>
      <c r="B16" s="9"/>
      <c r="C16" s="16"/>
      <c r="D16" s="16"/>
      <c r="E16" s="118">
        <f>E10+E11-E12</f>
        <v>0</v>
      </c>
      <c r="F16" s="118">
        <f t="shared" ref="F16:T16" si="17">F10+F11-F12</f>
        <v>0</v>
      </c>
      <c r="G16" s="118">
        <f t="shared" si="17"/>
        <v>0</v>
      </c>
      <c r="H16" s="118">
        <f>H10+H11-H12</f>
        <v>0</v>
      </c>
      <c r="I16" s="118"/>
      <c r="J16" s="118"/>
      <c r="K16" s="26"/>
      <c r="L16" s="118">
        <f t="shared" si="17"/>
        <v>0</v>
      </c>
      <c r="M16" s="118">
        <f t="shared" si="17"/>
        <v>0</v>
      </c>
      <c r="N16" s="118">
        <f t="shared" si="17"/>
        <v>0</v>
      </c>
      <c r="O16" s="118">
        <f>O10+O11-O12</f>
        <v>0</v>
      </c>
      <c r="P16" s="118"/>
      <c r="Q16" s="118"/>
      <c r="R16" s="118">
        <f t="shared" si="17"/>
        <v>0</v>
      </c>
      <c r="S16" s="118">
        <f t="shared" si="17"/>
        <v>0</v>
      </c>
      <c r="T16" s="118">
        <f t="shared" si="17"/>
        <v>0</v>
      </c>
      <c r="U16" s="118">
        <f>U10+U11-U12</f>
        <v>0</v>
      </c>
      <c r="V16" s="118"/>
      <c r="W16" s="17"/>
      <c r="AA16" s="9"/>
      <c r="AB16" s="9"/>
      <c r="AC16" s="9"/>
      <c r="AD16" s="9"/>
      <c r="AE16" s="9"/>
      <c r="AF16" s="9"/>
      <c r="AG16" s="26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</row>
    <row r="17" spans="1:45" ht="14">
      <c r="E17" s="118">
        <f>E6+E7+E9+E11-E12</f>
        <v>0</v>
      </c>
      <c r="F17" s="118">
        <f t="shared" ref="F17:U17" si="18">F6+F7+F9+F11-F12</f>
        <v>0</v>
      </c>
      <c r="G17" s="118">
        <f t="shared" si="18"/>
        <v>0</v>
      </c>
      <c r="H17" s="118">
        <f t="shared" si="18"/>
        <v>0</v>
      </c>
      <c r="I17" s="118"/>
      <c r="J17" s="118"/>
      <c r="K17" s="26"/>
      <c r="L17" s="118">
        <f t="shared" si="18"/>
        <v>0</v>
      </c>
      <c r="M17" s="118">
        <f>M6+M7+M9+M11-M12</f>
        <v>0</v>
      </c>
      <c r="N17" s="118">
        <f t="shared" si="18"/>
        <v>0</v>
      </c>
      <c r="O17" s="118">
        <f t="shared" si="18"/>
        <v>0</v>
      </c>
      <c r="P17" s="118"/>
      <c r="Q17" s="118"/>
      <c r="R17" s="118">
        <f t="shared" si="18"/>
        <v>0</v>
      </c>
      <c r="S17" s="118">
        <f t="shared" si="18"/>
        <v>0</v>
      </c>
      <c r="T17" s="118">
        <f t="shared" si="18"/>
        <v>0</v>
      </c>
      <c r="U17" s="118">
        <f t="shared" si="18"/>
        <v>0</v>
      </c>
      <c r="V17" s="160"/>
      <c r="AG17" s="26"/>
    </row>
    <row r="18" spans="1:45" ht="16">
      <c r="E18" s="277"/>
      <c r="F18" s="277"/>
      <c r="G18" s="277"/>
      <c r="H18" s="277"/>
      <c r="I18" s="277"/>
      <c r="J18" s="277"/>
      <c r="K18" s="26"/>
      <c r="L18" s="277"/>
      <c r="M18" s="277"/>
      <c r="N18" s="277"/>
      <c r="O18" s="277"/>
      <c r="P18" s="277"/>
      <c r="Q18" s="277"/>
      <c r="R18" s="277"/>
      <c r="S18" s="277"/>
      <c r="T18" s="277"/>
      <c r="U18" s="277"/>
      <c r="V18" s="277"/>
      <c r="W18" s="228"/>
      <c r="AG18" s="26"/>
    </row>
    <row r="19" spans="1:45" ht="14">
      <c r="A19" s="163"/>
      <c r="B19" s="163"/>
      <c r="C19" s="168"/>
      <c r="D19" s="168"/>
      <c r="E19" s="166"/>
      <c r="F19" s="166"/>
      <c r="G19" s="166"/>
      <c r="H19" s="166"/>
      <c r="I19" s="166"/>
      <c r="J19" s="170"/>
      <c r="K19" s="26"/>
      <c r="L19" s="170"/>
      <c r="M19" s="170"/>
      <c r="N19" s="170"/>
      <c r="O19" s="170"/>
      <c r="P19" s="170"/>
      <c r="Q19" s="170"/>
      <c r="R19" s="170"/>
      <c r="S19" s="170"/>
      <c r="T19" s="170"/>
      <c r="U19" s="170"/>
      <c r="V19" s="170"/>
      <c r="W19" s="163"/>
      <c r="AA19" s="163"/>
      <c r="AB19" s="163"/>
      <c r="AC19" s="163"/>
      <c r="AD19" s="163"/>
      <c r="AE19" s="163"/>
      <c r="AF19" s="163"/>
      <c r="AG19" s="26"/>
      <c r="AH19" s="163"/>
      <c r="AI19" s="163"/>
      <c r="AJ19" s="163"/>
      <c r="AK19" s="163"/>
      <c r="AL19" s="163"/>
      <c r="AM19" s="163"/>
      <c r="AN19" s="163"/>
      <c r="AO19" s="163"/>
      <c r="AP19" s="163"/>
      <c r="AQ19" s="163"/>
      <c r="AR19" s="163"/>
      <c r="AS19" s="163"/>
    </row>
    <row r="20" spans="1:45" ht="14.25" customHeight="1">
      <c r="A20" s="161"/>
      <c r="B20" s="161"/>
      <c r="C20" s="162"/>
      <c r="D20" s="162"/>
      <c r="E20" s="170"/>
      <c r="F20" s="170"/>
      <c r="G20" s="170"/>
      <c r="H20" s="170"/>
      <c r="I20" s="170"/>
      <c r="J20" s="170"/>
      <c r="K20" s="26"/>
      <c r="L20" s="278"/>
      <c r="M20" s="278"/>
      <c r="N20" s="278"/>
      <c r="O20" s="278"/>
      <c r="P20" s="278"/>
      <c r="Q20" s="170"/>
      <c r="R20" s="170"/>
      <c r="S20" s="170"/>
      <c r="T20" s="170"/>
      <c r="U20" s="170"/>
      <c r="V20" s="170"/>
      <c r="W20" s="161"/>
      <c r="AA20" s="161"/>
      <c r="AB20" s="161"/>
      <c r="AC20" s="161"/>
      <c r="AD20" s="161"/>
      <c r="AE20" s="161"/>
      <c r="AF20" s="161"/>
      <c r="AG20" s="26"/>
      <c r="AH20" s="161"/>
      <c r="AI20" s="161"/>
      <c r="AJ20" s="161"/>
      <c r="AK20" s="161"/>
      <c r="AL20" s="161"/>
      <c r="AM20" s="161"/>
      <c r="AN20" s="161"/>
      <c r="AO20" s="161"/>
      <c r="AP20" s="161"/>
      <c r="AQ20" s="161"/>
      <c r="AR20" s="161"/>
      <c r="AS20" s="161"/>
    </row>
    <row r="21" spans="1:45" ht="14.25" customHeight="1">
      <c r="A21" s="161"/>
      <c r="B21" s="161"/>
      <c r="C21" s="162"/>
      <c r="D21" s="162"/>
      <c r="E21" s="166"/>
      <c r="F21" s="166"/>
      <c r="G21" s="166"/>
      <c r="H21" s="166"/>
      <c r="I21" s="166"/>
      <c r="J21" s="170"/>
      <c r="K21" s="26"/>
      <c r="L21" s="170"/>
      <c r="M21" s="170"/>
      <c r="N21" s="170"/>
      <c r="O21" s="170"/>
      <c r="P21" s="170"/>
      <c r="Q21" s="170"/>
      <c r="R21" s="170"/>
      <c r="S21" s="170"/>
      <c r="T21" s="170"/>
      <c r="U21" s="170"/>
      <c r="V21" s="170"/>
      <c r="W21" s="161"/>
      <c r="AA21" s="161"/>
      <c r="AB21" s="161"/>
      <c r="AC21" s="161"/>
      <c r="AD21" s="161"/>
      <c r="AE21" s="161"/>
      <c r="AF21" s="161"/>
      <c r="AG21" s="26"/>
      <c r="AH21" s="161"/>
      <c r="AI21" s="161"/>
      <c r="AJ21" s="161"/>
      <c r="AK21" s="161"/>
      <c r="AL21" s="161"/>
      <c r="AM21" s="161"/>
      <c r="AN21" s="161"/>
      <c r="AO21" s="161"/>
      <c r="AP21" s="161"/>
      <c r="AQ21" s="161"/>
      <c r="AR21" s="161"/>
      <c r="AS21" s="161"/>
    </row>
    <row r="22" spans="1:45" ht="14.25" customHeight="1">
      <c r="A22" s="161"/>
      <c r="B22" s="161"/>
      <c r="C22" s="161"/>
      <c r="D22" s="161"/>
      <c r="E22" s="166"/>
      <c r="F22" s="170"/>
      <c r="G22" s="170"/>
      <c r="H22" s="170"/>
      <c r="I22" s="170"/>
      <c r="J22" s="170"/>
      <c r="K22" s="26"/>
      <c r="L22" s="170"/>
      <c r="M22" s="170"/>
      <c r="N22" s="170"/>
      <c r="O22" s="170"/>
      <c r="P22" s="170"/>
      <c r="Q22" s="170"/>
      <c r="R22" s="170" t="s">
        <v>218</v>
      </c>
      <c r="S22" s="170"/>
      <c r="T22" s="170"/>
      <c r="U22" s="170"/>
      <c r="V22" s="170"/>
      <c r="W22" s="161"/>
      <c r="AA22" s="161"/>
      <c r="AB22" s="161"/>
      <c r="AC22" s="161"/>
      <c r="AD22" s="161"/>
      <c r="AE22" s="161"/>
      <c r="AF22" s="161"/>
      <c r="AG22" s="26"/>
      <c r="AH22" s="161"/>
      <c r="AI22" s="161"/>
      <c r="AJ22" s="161"/>
      <c r="AK22" s="161"/>
      <c r="AL22" s="161"/>
      <c r="AM22" s="161"/>
      <c r="AN22" s="161"/>
      <c r="AO22" s="161"/>
      <c r="AP22" s="161"/>
      <c r="AQ22" s="161"/>
      <c r="AR22" s="161"/>
      <c r="AS22" s="161"/>
    </row>
    <row r="23" spans="1:45" ht="14.25" customHeight="1">
      <c r="A23" s="161"/>
      <c r="B23" s="161"/>
      <c r="C23" s="162"/>
      <c r="D23" s="162"/>
      <c r="E23" s="170"/>
      <c r="F23" s="170"/>
      <c r="G23" s="170"/>
      <c r="H23" s="170"/>
      <c r="I23" s="170"/>
      <c r="J23" s="170"/>
      <c r="K23" s="26"/>
      <c r="L23" s="170"/>
      <c r="M23" s="170"/>
      <c r="N23" s="170"/>
      <c r="O23" s="170"/>
      <c r="P23" s="170"/>
      <c r="Q23" s="170"/>
      <c r="R23" s="170"/>
      <c r="S23" s="170"/>
      <c r="T23" s="170"/>
      <c r="U23" s="170"/>
      <c r="V23" s="170"/>
      <c r="W23" s="161"/>
      <c r="AA23" s="161"/>
      <c r="AB23" s="161"/>
      <c r="AC23" s="161"/>
      <c r="AD23" s="161"/>
      <c r="AE23" s="161"/>
      <c r="AF23" s="161"/>
      <c r="AG23" s="26"/>
      <c r="AH23" s="161"/>
      <c r="AI23" s="161"/>
      <c r="AJ23" s="161"/>
      <c r="AK23" s="161"/>
      <c r="AL23" s="161"/>
      <c r="AM23" s="161"/>
      <c r="AN23" s="161"/>
      <c r="AO23" s="161"/>
      <c r="AP23" s="161"/>
      <c r="AQ23" s="161"/>
      <c r="AR23" s="161"/>
      <c r="AS23" s="161"/>
    </row>
    <row r="24" spans="1:45" ht="14.25" customHeight="1">
      <c r="A24" s="161"/>
      <c r="B24" s="161"/>
      <c r="C24" s="162"/>
      <c r="D24" s="162"/>
      <c r="E24" s="170"/>
      <c r="F24" s="170"/>
      <c r="G24" s="170"/>
      <c r="H24" s="170"/>
      <c r="I24" s="170"/>
      <c r="J24" s="170"/>
      <c r="K24" s="26"/>
      <c r="L24" s="170"/>
      <c r="M24" s="170"/>
      <c r="N24" s="170"/>
      <c r="O24" s="170"/>
      <c r="P24" s="170"/>
      <c r="Q24" s="170"/>
      <c r="R24" s="170"/>
      <c r="S24" s="170"/>
      <c r="T24" s="170"/>
      <c r="U24" s="170"/>
      <c r="V24" s="170"/>
      <c r="W24" s="161"/>
      <c r="AA24" s="161"/>
      <c r="AB24" s="161"/>
      <c r="AC24" s="161"/>
      <c r="AD24" s="161"/>
      <c r="AE24" s="161"/>
      <c r="AF24" s="161"/>
      <c r="AG24" s="26"/>
      <c r="AH24" s="161"/>
      <c r="AI24" s="161"/>
      <c r="AJ24" s="161"/>
      <c r="AK24" s="161"/>
      <c r="AL24" s="161"/>
      <c r="AM24" s="161"/>
      <c r="AN24" s="161"/>
      <c r="AO24" s="161"/>
      <c r="AP24" s="161"/>
      <c r="AQ24" s="161"/>
      <c r="AR24" s="161"/>
      <c r="AS24" s="161"/>
    </row>
    <row r="25" spans="1:45" ht="14.25" customHeight="1">
      <c r="A25" s="161"/>
      <c r="B25" s="161"/>
      <c r="C25" s="162"/>
      <c r="D25" s="162"/>
      <c r="E25" s="170"/>
      <c r="F25" s="170"/>
      <c r="G25" s="170"/>
      <c r="H25" s="170"/>
      <c r="I25" s="170"/>
      <c r="J25" s="170"/>
      <c r="K25" s="26"/>
      <c r="L25" s="166"/>
      <c r="M25" s="170"/>
      <c r="N25" s="170"/>
      <c r="O25" s="170"/>
      <c r="P25" s="170"/>
      <c r="Q25" s="170"/>
      <c r="R25" s="170"/>
      <c r="S25" s="170"/>
      <c r="T25" s="170"/>
      <c r="U25" s="170"/>
      <c r="V25" s="170"/>
      <c r="W25" s="161"/>
      <c r="AA25" s="161"/>
      <c r="AB25" s="161"/>
      <c r="AC25" s="161"/>
      <c r="AD25" s="161"/>
      <c r="AE25" s="161"/>
      <c r="AF25" s="161"/>
      <c r="AG25" s="26"/>
      <c r="AH25" s="161"/>
      <c r="AI25" s="161"/>
      <c r="AJ25" s="161"/>
      <c r="AK25" s="161"/>
      <c r="AL25" s="161"/>
      <c r="AM25" s="161"/>
      <c r="AN25" s="161"/>
      <c r="AO25" s="161"/>
      <c r="AP25" s="161"/>
      <c r="AQ25" s="161"/>
      <c r="AR25" s="161"/>
      <c r="AS25" s="161"/>
    </row>
    <row r="26" spans="1:45" ht="14.25" customHeight="1">
      <c r="A26" s="161"/>
      <c r="B26" s="161"/>
      <c r="C26" s="162"/>
      <c r="D26" s="162"/>
      <c r="E26" s="170"/>
      <c r="F26" s="170"/>
      <c r="G26" s="170"/>
      <c r="H26" s="170"/>
      <c r="I26" s="170"/>
      <c r="J26" s="170"/>
      <c r="K26" s="26"/>
      <c r="L26" s="170"/>
      <c r="M26" s="170"/>
      <c r="N26" s="170"/>
      <c r="O26" s="170"/>
      <c r="P26" s="170"/>
      <c r="Q26" s="170"/>
      <c r="R26" s="170"/>
      <c r="S26" s="170"/>
      <c r="T26" s="170"/>
      <c r="U26" s="170"/>
      <c r="V26" s="170"/>
      <c r="W26" s="161"/>
      <c r="AA26" s="161"/>
      <c r="AB26" s="161"/>
      <c r="AC26" s="161"/>
      <c r="AD26" s="161"/>
      <c r="AE26" s="161"/>
      <c r="AF26" s="161"/>
      <c r="AG26" s="26"/>
      <c r="AH26" s="161"/>
      <c r="AI26" s="161"/>
      <c r="AJ26" s="161"/>
      <c r="AK26" s="161"/>
      <c r="AL26" s="161"/>
      <c r="AM26" s="161"/>
      <c r="AN26" s="161"/>
      <c r="AO26" s="161"/>
      <c r="AP26" s="161"/>
      <c r="AQ26" s="161"/>
      <c r="AR26" s="161"/>
      <c r="AS26" s="161"/>
    </row>
    <row r="27" spans="1:45" ht="14.25" customHeight="1">
      <c r="A27" s="161"/>
      <c r="B27" s="161"/>
      <c r="C27" s="162"/>
      <c r="D27" s="162"/>
      <c r="E27" s="161"/>
      <c r="F27" s="161"/>
      <c r="G27" s="161"/>
      <c r="H27" s="161"/>
      <c r="I27" s="161"/>
      <c r="J27" s="161"/>
      <c r="K27" s="26"/>
      <c r="L27" s="161"/>
      <c r="M27" s="161"/>
      <c r="N27" s="161"/>
      <c r="O27" s="161"/>
      <c r="P27" s="161"/>
      <c r="Q27" s="161"/>
      <c r="R27" s="161"/>
      <c r="S27" s="161"/>
      <c r="T27" s="161"/>
      <c r="U27" s="161"/>
      <c r="V27" s="161"/>
      <c r="W27" s="161"/>
      <c r="AA27" s="161"/>
      <c r="AB27" s="161"/>
      <c r="AC27" s="161"/>
      <c r="AD27" s="161"/>
      <c r="AE27" s="161"/>
      <c r="AF27" s="161"/>
      <c r="AG27" s="26"/>
      <c r="AH27" s="161"/>
      <c r="AI27" s="161"/>
      <c r="AJ27" s="161"/>
      <c r="AK27" s="161"/>
      <c r="AL27" s="161"/>
      <c r="AM27" s="161"/>
      <c r="AN27" s="161"/>
      <c r="AO27" s="161"/>
      <c r="AP27" s="161"/>
      <c r="AQ27" s="161"/>
      <c r="AR27" s="161"/>
      <c r="AS27" s="161"/>
    </row>
    <row r="28" spans="1:45" ht="14.25" customHeight="1">
      <c r="A28" s="161"/>
      <c r="B28" s="161"/>
      <c r="C28" s="162"/>
      <c r="D28" s="162"/>
      <c r="E28" s="161"/>
      <c r="F28" s="161"/>
      <c r="G28" s="161"/>
      <c r="H28" s="161"/>
      <c r="I28" s="161"/>
      <c r="J28" s="161"/>
      <c r="K28" s="26"/>
      <c r="L28" s="161"/>
      <c r="M28" s="161"/>
      <c r="N28" s="161"/>
      <c r="O28" s="161"/>
      <c r="P28" s="161"/>
      <c r="Q28" s="161"/>
      <c r="R28" s="161"/>
      <c r="S28" s="161"/>
      <c r="T28" s="161"/>
      <c r="U28" s="161"/>
      <c r="V28" s="161"/>
      <c r="W28" s="161"/>
      <c r="AA28" s="161"/>
      <c r="AB28" s="161"/>
      <c r="AC28" s="161"/>
      <c r="AD28" s="161"/>
      <c r="AE28" s="161"/>
      <c r="AF28" s="161"/>
      <c r="AG28" s="26"/>
      <c r="AH28" s="161"/>
      <c r="AI28" s="161"/>
      <c r="AJ28" s="161"/>
      <c r="AK28" s="161"/>
      <c r="AL28" s="161"/>
      <c r="AM28" s="161"/>
      <c r="AN28" s="161"/>
      <c r="AO28" s="161"/>
      <c r="AP28" s="161"/>
      <c r="AQ28" s="161"/>
      <c r="AR28" s="161"/>
      <c r="AS28" s="161"/>
    </row>
    <row r="29" spans="1:45" ht="14.25" customHeight="1">
      <c r="A29" s="161"/>
      <c r="B29" s="161"/>
      <c r="C29" s="162"/>
      <c r="D29" s="162"/>
      <c r="E29" s="161"/>
      <c r="F29" s="161"/>
      <c r="G29" s="161"/>
      <c r="H29" s="161"/>
      <c r="I29" s="161"/>
      <c r="J29" s="161"/>
      <c r="K29" s="26"/>
      <c r="L29" s="161"/>
      <c r="M29" s="161"/>
      <c r="N29" s="161"/>
      <c r="O29" s="161"/>
      <c r="P29" s="161"/>
      <c r="Q29" s="161"/>
      <c r="R29" s="161"/>
      <c r="S29" s="161"/>
      <c r="T29" s="161"/>
      <c r="U29" s="161"/>
      <c r="V29" s="161"/>
      <c r="W29" s="161"/>
      <c r="AA29" s="161"/>
      <c r="AB29" s="161"/>
      <c r="AC29" s="161"/>
      <c r="AD29" s="161"/>
      <c r="AE29" s="161"/>
      <c r="AF29" s="161"/>
      <c r="AG29" s="26"/>
      <c r="AH29" s="161"/>
      <c r="AI29" s="161"/>
      <c r="AJ29" s="161"/>
      <c r="AK29" s="161"/>
      <c r="AL29" s="161"/>
      <c r="AM29" s="161"/>
      <c r="AN29" s="161"/>
      <c r="AO29" s="161"/>
      <c r="AP29" s="161"/>
      <c r="AQ29" s="161"/>
      <c r="AR29" s="161"/>
      <c r="AS29" s="161"/>
    </row>
    <row r="30" spans="1:45" ht="14" customHeight="1">
      <c r="A30" s="161"/>
      <c r="B30" s="161"/>
      <c r="C30" s="162"/>
      <c r="D30" s="162"/>
      <c r="E30" s="161"/>
      <c r="F30" s="161"/>
      <c r="G30" s="161"/>
      <c r="H30" s="161"/>
      <c r="I30" s="161"/>
      <c r="J30" s="161"/>
      <c r="K30" s="26"/>
      <c r="L30" s="161"/>
      <c r="M30" s="161"/>
      <c r="N30" s="161"/>
      <c r="O30" s="161"/>
      <c r="P30" s="161"/>
      <c r="Q30" s="161"/>
      <c r="R30" s="161"/>
      <c r="S30" s="161"/>
      <c r="T30" s="161"/>
      <c r="U30" s="161"/>
      <c r="V30" s="161"/>
      <c r="W30" s="161"/>
      <c r="AA30" s="161"/>
      <c r="AB30" s="161"/>
      <c r="AC30" s="161"/>
      <c r="AD30" s="161"/>
      <c r="AE30" s="161"/>
      <c r="AF30" s="161"/>
      <c r="AG30" s="26"/>
      <c r="AH30" s="161"/>
      <c r="AI30" s="161"/>
      <c r="AJ30" s="161"/>
      <c r="AK30" s="161"/>
      <c r="AL30" s="161"/>
      <c r="AM30" s="161"/>
      <c r="AN30" s="161"/>
      <c r="AO30" s="161"/>
      <c r="AP30" s="161"/>
      <c r="AQ30" s="161"/>
      <c r="AR30" s="161"/>
      <c r="AS30" s="161"/>
    </row>
    <row r="31" spans="1:45" ht="14.25" customHeight="1">
      <c r="A31" s="161"/>
      <c r="B31" s="161"/>
      <c r="C31" s="162"/>
      <c r="D31" s="162"/>
      <c r="E31" s="161"/>
      <c r="F31" s="161"/>
      <c r="G31" s="161"/>
      <c r="H31" s="161"/>
      <c r="I31" s="161"/>
      <c r="J31" s="161"/>
      <c r="K31" s="26"/>
      <c r="L31" s="161"/>
      <c r="M31" s="161"/>
      <c r="N31" s="161"/>
      <c r="O31" s="161"/>
      <c r="P31" s="161"/>
      <c r="Q31" s="161"/>
      <c r="R31" s="161"/>
      <c r="S31" s="161"/>
      <c r="T31" s="161"/>
      <c r="U31" s="161"/>
      <c r="V31" s="161"/>
      <c r="W31" s="161"/>
      <c r="AA31" s="161"/>
      <c r="AB31" s="161"/>
      <c r="AC31" s="161"/>
      <c r="AD31" s="161"/>
      <c r="AE31" s="161"/>
      <c r="AF31" s="161"/>
      <c r="AG31" s="26"/>
      <c r="AH31" s="161"/>
      <c r="AI31" s="161"/>
      <c r="AJ31" s="161"/>
      <c r="AK31" s="161"/>
      <c r="AL31" s="161"/>
      <c r="AM31" s="161"/>
      <c r="AN31" s="161"/>
      <c r="AO31" s="161"/>
      <c r="AP31" s="161"/>
      <c r="AQ31" s="161"/>
      <c r="AR31" s="161"/>
      <c r="AS31" s="161"/>
    </row>
    <row r="32" spans="1:45" ht="14.25" customHeight="1">
      <c r="A32" s="161"/>
      <c r="B32" s="161"/>
      <c r="C32" s="162"/>
      <c r="D32" s="162"/>
      <c r="E32" s="161"/>
      <c r="F32" s="161"/>
      <c r="G32" s="161"/>
      <c r="H32" s="161"/>
      <c r="I32" s="161"/>
      <c r="J32" s="161"/>
      <c r="K32" s="26"/>
      <c r="L32" s="161"/>
      <c r="M32" s="161"/>
      <c r="N32" s="161"/>
      <c r="O32" s="161"/>
      <c r="P32" s="161"/>
      <c r="Q32" s="161"/>
      <c r="R32" s="161"/>
      <c r="S32" s="161"/>
      <c r="T32" s="161"/>
      <c r="U32" s="161"/>
      <c r="V32" s="161"/>
      <c r="W32" s="161"/>
      <c r="AA32" s="161"/>
      <c r="AB32" s="161"/>
      <c r="AC32" s="161"/>
      <c r="AD32" s="161"/>
      <c r="AE32" s="161"/>
      <c r="AF32" s="161"/>
      <c r="AG32" s="26"/>
      <c r="AH32" s="161"/>
      <c r="AI32" s="161"/>
      <c r="AJ32" s="161"/>
      <c r="AK32" s="161"/>
      <c r="AL32" s="161"/>
      <c r="AM32" s="161"/>
      <c r="AN32" s="161"/>
      <c r="AO32" s="161"/>
      <c r="AP32" s="161"/>
      <c r="AQ32" s="161"/>
      <c r="AR32" s="161"/>
      <c r="AS32" s="161"/>
    </row>
    <row r="33" spans="1:45" ht="14.25" customHeight="1">
      <c r="A33" s="161"/>
      <c r="B33" s="161"/>
      <c r="C33" s="162"/>
      <c r="D33" s="162"/>
      <c r="E33" s="161"/>
      <c r="F33" s="161"/>
      <c r="G33" s="161"/>
      <c r="H33" s="161"/>
      <c r="I33" s="161"/>
      <c r="J33" s="161"/>
      <c r="K33" s="26"/>
      <c r="L33" s="161"/>
      <c r="M33" s="161"/>
      <c r="N33" s="161"/>
      <c r="O33" s="161"/>
      <c r="P33" s="161"/>
      <c r="Q33" s="161"/>
      <c r="R33" s="161"/>
      <c r="S33" s="161"/>
      <c r="T33" s="161"/>
      <c r="U33" s="161"/>
      <c r="V33" s="161"/>
      <c r="W33" s="161"/>
      <c r="AA33" s="161"/>
      <c r="AB33" s="161"/>
      <c r="AC33" s="161"/>
      <c r="AD33" s="161"/>
      <c r="AE33" s="161"/>
      <c r="AF33" s="161"/>
      <c r="AG33" s="26"/>
      <c r="AH33" s="161"/>
      <c r="AI33" s="161"/>
      <c r="AJ33" s="161"/>
      <c r="AK33" s="161"/>
      <c r="AL33" s="161"/>
      <c r="AM33" s="161"/>
      <c r="AN33" s="161"/>
      <c r="AO33" s="161"/>
      <c r="AP33" s="161"/>
      <c r="AQ33" s="161"/>
      <c r="AR33" s="161"/>
      <c r="AS33" s="161"/>
    </row>
    <row r="34" spans="1:45" ht="14.25" customHeight="1">
      <c r="A34" s="161"/>
      <c r="B34" s="161"/>
      <c r="C34" s="162"/>
      <c r="D34" s="162"/>
      <c r="E34" s="161"/>
      <c r="F34" s="161"/>
      <c r="G34" s="161"/>
      <c r="H34" s="161"/>
      <c r="I34" s="161"/>
      <c r="J34" s="161"/>
      <c r="K34" s="26"/>
      <c r="L34" s="161"/>
      <c r="M34" s="161"/>
      <c r="N34" s="161"/>
      <c r="O34" s="161"/>
      <c r="P34" s="161"/>
      <c r="Q34" s="161"/>
      <c r="R34" s="161"/>
      <c r="S34" s="161"/>
      <c r="T34" s="161"/>
      <c r="U34" s="161"/>
      <c r="V34" s="161"/>
      <c r="W34" s="161"/>
      <c r="AA34" s="161"/>
      <c r="AB34" s="161"/>
      <c r="AC34" s="161"/>
      <c r="AD34" s="161"/>
      <c r="AE34" s="161"/>
      <c r="AF34" s="161"/>
      <c r="AG34" s="26"/>
      <c r="AH34" s="161"/>
      <c r="AI34" s="161"/>
      <c r="AJ34" s="161"/>
      <c r="AK34" s="161"/>
      <c r="AL34" s="161"/>
      <c r="AM34" s="161"/>
      <c r="AN34" s="161"/>
      <c r="AO34" s="161"/>
      <c r="AP34" s="161"/>
      <c r="AQ34" s="161"/>
      <c r="AR34" s="161"/>
      <c r="AS34" s="161"/>
    </row>
    <row r="35" spans="1:45" ht="14.25" customHeight="1">
      <c r="A35" s="161"/>
      <c r="B35" s="161"/>
      <c r="C35" s="162"/>
      <c r="D35" s="162"/>
      <c r="E35" s="161"/>
      <c r="F35" s="161"/>
      <c r="G35" s="161"/>
      <c r="H35" s="161"/>
      <c r="I35" s="161"/>
      <c r="J35" s="161"/>
      <c r="K35" s="26"/>
      <c r="L35" s="161"/>
      <c r="M35" s="161"/>
      <c r="N35" s="161"/>
      <c r="O35" s="161"/>
      <c r="P35" s="161"/>
      <c r="Q35" s="161"/>
      <c r="R35" s="161"/>
      <c r="S35" s="161"/>
      <c r="T35" s="161"/>
      <c r="U35" s="161"/>
      <c r="V35" s="161"/>
      <c r="W35" s="161"/>
      <c r="AA35" s="161"/>
      <c r="AB35" s="161"/>
      <c r="AC35" s="161"/>
      <c r="AD35" s="161"/>
      <c r="AE35" s="161"/>
      <c r="AF35" s="161"/>
      <c r="AG35" s="26"/>
      <c r="AH35" s="161"/>
      <c r="AI35" s="161"/>
      <c r="AJ35" s="161"/>
      <c r="AK35" s="161"/>
      <c r="AL35" s="161"/>
      <c r="AM35" s="161"/>
      <c r="AN35" s="161"/>
      <c r="AO35" s="161"/>
      <c r="AP35" s="161"/>
      <c r="AQ35" s="161"/>
      <c r="AR35" s="161"/>
      <c r="AS35" s="161"/>
    </row>
    <row r="36" spans="1:45" ht="14.25" customHeight="1">
      <c r="A36" s="161"/>
      <c r="B36" s="161"/>
      <c r="C36" s="162"/>
      <c r="D36" s="162"/>
      <c r="E36" s="161"/>
      <c r="F36" s="161"/>
      <c r="G36" s="161"/>
      <c r="H36" s="161"/>
      <c r="I36" s="161"/>
      <c r="J36" s="161"/>
      <c r="K36" s="26"/>
      <c r="L36" s="161"/>
      <c r="M36" s="161"/>
      <c r="N36" s="161"/>
      <c r="O36" s="161"/>
      <c r="P36" s="161"/>
      <c r="Q36" s="161"/>
      <c r="R36" s="161"/>
      <c r="S36" s="161"/>
      <c r="T36" s="161"/>
      <c r="U36" s="161"/>
      <c r="V36" s="161"/>
      <c r="W36" s="161"/>
      <c r="AA36" s="161"/>
      <c r="AB36" s="161"/>
      <c r="AC36" s="161"/>
      <c r="AD36" s="161"/>
      <c r="AE36" s="161"/>
      <c r="AF36" s="161"/>
      <c r="AG36" s="26"/>
      <c r="AH36" s="161"/>
      <c r="AI36" s="161"/>
      <c r="AJ36" s="161"/>
      <c r="AK36" s="161"/>
      <c r="AL36" s="161"/>
      <c r="AM36" s="161"/>
      <c r="AN36" s="161"/>
      <c r="AO36" s="161"/>
      <c r="AP36" s="161"/>
      <c r="AQ36" s="161"/>
      <c r="AR36" s="161"/>
      <c r="AS36" s="161"/>
    </row>
    <row r="37" spans="1:45" ht="14.25" customHeight="1">
      <c r="A37" s="161"/>
      <c r="B37" s="161"/>
      <c r="C37" s="162"/>
      <c r="D37" s="162"/>
      <c r="E37" s="161"/>
      <c r="F37" s="161"/>
      <c r="G37" s="161"/>
      <c r="H37" s="161"/>
      <c r="I37" s="161"/>
      <c r="J37" s="161"/>
      <c r="K37" s="26"/>
      <c r="L37" s="161"/>
      <c r="M37" s="161"/>
      <c r="N37" s="161"/>
      <c r="O37" s="161"/>
      <c r="P37" s="161"/>
      <c r="Q37" s="161"/>
      <c r="R37" s="161"/>
      <c r="S37" s="161"/>
      <c r="T37" s="161"/>
      <c r="U37" s="161"/>
      <c r="V37" s="161"/>
      <c r="W37" s="161"/>
      <c r="AA37" s="161"/>
      <c r="AB37" s="161"/>
      <c r="AC37" s="161"/>
      <c r="AD37" s="161"/>
      <c r="AE37" s="161"/>
      <c r="AF37" s="161"/>
      <c r="AG37" s="26"/>
      <c r="AH37" s="161"/>
      <c r="AI37" s="161"/>
      <c r="AJ37" s="161"/>
      <c r="AK37" s="161"/>
      <c r="AL37" s="161"/>
      <c r="AM37" s="161"/>
      <c r="AN37" s="161"/>
      <c r="AO37" s="161"/>
      <c r="AP37" s="161"/>
      <c r="AQ37" s="161"/>
      <c r="AR37" s="161"/>
      <c r="AS37" s="161"/>
    </row>
    <row r="38" spans="1:45" ht="14.25" customHeight="1">
      <c r="A38" s="161"/>
      <c r="B38" s="161"/>
      <c r="C38" s="162"/>
      <c r="D38" s="162"/>
      <c r="E38" s="161"/>
      <c r="F38" s="161"/>
      <c r="G38" s="161"/>
      <c r="H38" s="161"/>
      <c r="I38" s="161"/>
      <c r="J38" s="161"/>
      <c r="K38" s="26"/>
      <c r="L38" s="161"/>
      <c r="M38" s="161"/>
      <c r="N38" s="161"/>
      <c r="O38" s="161"/>
      <c r="P38" s="161"/>
      <c r="Q38" s="161"/>
      <c r="R38" s="161"/>
      <c r="S38" s="161"/>
      <c r="T38" s="161"/>
      <c r="U38" s="161"/>
      <c r="V38" s="161"/>
      <c r="W38" s="161"/>
      <c r="AA38" s="161"/>
      <c r="AB38" s="161"/>
      <c r="AC38" s="161"/>
      <c r="AD38" s="161"/>
      <c r="AE38" s="161"/>
      <c r="AF38" s="161"/>
      <c r="AG38" s="26"/>
      <c r="AH38" s="161"/>
      <c r="AI38" s="161"/>
      <c r="AJ38" s="161"/>
      <c r="AK38" s="161"/>
      <c r="AL38" s="161"/>
      <c r="AM38" s="161"/>
      <c r="AN38" s="161"/>
      <c r="AO38" s="161"/>
      <c r="AP38" s="161"/>
      <c r="AQ38" s="161"/>
      <c r="AR38" s="161"/>
      <c r="AS38" s="161"/>
    </row>
    <row r="39" spans="1:45" ht="14.25" customHeight="1">
      <c r="K39" s="26"/>
      <c r="AG39" s="26"/>
    </row>
    <row r="40" spans="1:45" ht="14.25" customHeight="1">
      <c r="K40" s="26"/>
      <c r="AG40" s="26"/>
    </row>
    <row r="41" spans="1:45" ht="14.25" customHeight="1">
      <c r="K41" s="26"/>
      <c r="AG41" s="26"/>
    </row>
    <row r="42" spans="1:45" ht="14.25" customHeight="1">
      <c r="K42" s="26"/>
      <c r="AG42" s="26"/>
    </row>
    <row r="43" spans="1:45" ht="14.25" customHeight="1">
      <c r="K43" s="26"/>
      <c r="AG43" s="26"/>
    </row>
    <row r="44" spans="1:45" ht="14.25" customHeight="1">
      <c r="K44" s="26"/>
      <c r="AG44" s="26"/>
    </row>
    <row r="45" spans="1:45" ht="14.25" customHeight="1">
      <c r="K45" s="26"/>
      <c r="AG45" s="26"/>
    </row>
    <row r="46" spans="1:45" ht="14.25" customHeight="1">
      <c r="K46" s="26"/>
      <c r="AG46" s="26"/>
    </row>
    <row r="47" spans="1:45" ht="14.25" customHeight="1">
      <c r="K47" s="26"/>
      <c r="AG47" s="26"/>
    </row>
    <row r="48" spans="1:45" ht="14">
      <c r="K48" s="26"/>
      <c r="AG48" s="26"/>
    </row>
    <row r="49" spans="11:33" ht="15" thickBot="1">
      <c r="K49" s="26"/>
      <c r="AG49" s="26"/>
    </row>
    <row r="50" spans="11:33" ht="14">
      <c r="K50" s="52"/>
      <c r="AG50" s="52"/>
    </row>
    <row r="51" spans="11:33" ht="14">
      <c r="K51" s="25"/>
      <c r="AG51" s="25"/>
    </row>
    <row r="52" spans="11:33" ht="14" thickBot="1">
      <c r="K52" s="23"/>
      <c r="AG52" s="23"/>
    </row>
    <row r="54" spans="11:33">
      <c r="K54" s="9"/>
      <c r="AG54" s="9"/>
    </row>
    <row r="56" spans="11:33">
      <c r="K56" s="9"/>
      <c r="AG56" s="9"/>
    </row>
    <row r="58" spans="11:33">
      <c r="K58" s="9"/>
      <c r="AG58" s="9"/>
    </row>
  </sheetData>
  <mergeCells count="60">
    <mergeCell ref="AT1:AU2"/>
    <mergeCell ref="AT3:AT5"/>
    <mergeCell ref="AU3:AU5"/>
    <mergeCell ref="X1:Y2"/>
    <mergeCell ref="X3:X5"/>
    <mergeCell ref="Y3:Y5"/>
    <mergeCell ref="L3:L5"/>
    <mergeCell ref="M3:N3"/>
    <mergeCell ref="O3:O5"/>
    <mergeCell ref="P3:P5"/>
    <mergeCell ref="A1:A5"/>
    <mergeCell ref="B1:B5"/>
    <mergeCell ref="K1:K2"/>
    <mergeCell ref="K3:K5"/>
    <mergeCell ref="M4:M5"/>
    <mergeCell ref="N4:N5"/>
    <mergeCell ref="S4:S5"/>
    <mergeCell ref="T4:T5"/>
    <mergeCell ref="R3:R5"/>
    <mergeCell ref="S3:T3"/>
    <mergeCell ref="E3:E5"/>
    <mergeCell ref="F3:G3"/>
    <mergeCell ref="H3:H5"/>
    <mergeCell ref="I3:I5"/>
    <mergeCell ref="J3:J5"/>
    <mergeCell ref="F4:F5"/>
    <mergeCell ref="G4:G5"/>
    <mergeCell ref="AN1:AS2"/>
    <mergeCell ref="AB3:AC3"/>
    <mergeCell ref="AD3:AD5"/>
    <mergeCell ref="AE3:AE5"/>
    <mergeCell ref="AF3:AF5"/>
    <mergeCell ref="AH3:AH5"/>
    <mergeCell ref="AI3:AJ3"/>
    <mergeCell ref="AK3:AK5"/>
    <mergeCell ref="AL3:AL5"/>
    <mergeCell ref="AM3:AM5"/>
    <mergeCell ref="AN3:AN5"/>
    <mergeCell ref="AO3:AP3"/>
    <mergeCell ref="AQ3:AQ5"/>
    <mergeCell ref="AR3:AR5"/>
    <mergeCell ref="AS3:AS5"/>
    <mergeCell ref="AB4:AB5"/>
    <mergeCell ref="E1:J2"/>
    <mergeCell ref="L1:Q2"/>
    <mergeCell ref="R1:W2"/>
    <mergeCell ref="AA1:AF2"/>
    <mergeCell ref="AH1:AM2"/>
    <mergeCell ref="AG1:AG2"/>
    <mergeCell ref="AI4:AI5"/>
    <mergeCell ref="AJ4:AJ5"/>
    <mergeCell ref="AO4:AO5"/>
    <mergeCell ref="AP4:AP5"/>
    <mergeCell ref="Q3:Q5"/>
    <mergeCell ref="AC4:AC5"/>
    <mergeCell ref="U3:U5"/>
    <mergeCell ref="V3:V5"/>
    <mergeCell ref="W3:W5"/>
    <mergeCell ref="AA3:AA5"/>
    <mergeCell ref="AG3:AG5"/>
  </mergeCells>
  <printOptions horizontalCentered="1" verticalCentered="1"/>
  <pageMargins left="0.59055118110236227" right="0.51181102362204722" top="0.39370078740157483" bottom="0.19685039370078741" header="0.39370078740157483" footer="0.19685039370078741"/>
  <pageSetup paperSize="9" scale="55" pageOrder="overThenDown" orientation="landscape" r:id="rId1"/>
  <headerFooter alignWithMargins="0">
    <oddHeader>&amp;C&amp;"Arial CE,tučné"Přehled o vývoji počtu zaměstnanců a objemech mezd od roku  1 9 9 3
za   R O P O  c e l k e m
&amp;R&amp;A   -   &amp;F</oddHeader>
    <oddFooter>&amp;C6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11</vt:i4>
      </vt:variant>
    </vt:vector>
  </HeadingPairs>
  <TitlesOfParts>
    <vt:vector size="22" baseType="lpstr">
      <vt:lpstr>ROPO CELKEM</vt:lpstr>
      <vt:lpstr>OSS (RO)</vt:lpstr>
      <vt:lpstr>PO</vt:lpstr>
      <vt:lpstr>OOSS</vt:lpstr>
      <vt:lpstr>STATNI SPRAVA</vt:lpstr>
      <vt:lpstr>UO</vt:lpstr>
      <vt:lpstr>OSS SS</vt:lpstr>
      <vt:lpstr>OSS SS - jednotl</vt:lpstr>
      <vt:lpstr>SOBCPO</vt:lpstr>
      <vt:lpstr>SOBCPO  JEDNOTLIVY</vt:lpstr>
      <vt:lpstr>SUMAR</vt:lpstr>
      <vt:lpstr>OOSS!Print_Titles</vt:lpstr>
      <vt:lpstr>'OSS (RO)'!Print_Titles</vt:lpstr>
      <vt:lpstr>'OSS SS'!Print_Titles</vt:lpstr>
      <vt:lpstr>'OSS SS - jednotl'!Print_Titles</vt:lpstr>
      <vt:lpstr>PO!Print_Titles</vt:lpstr>
      <vt:lpstr>'ROPO CELKEM'!Print_Titles</vt:lpstr>
      <vt:lpstr>SOBCPO!Print_Titles</vt:lpstr>
      <vt:lpstr>'SOBCPO  JEDNOTLIVY'!Print_Titles</vt:lpstr>
      <vt:lpstr>'STATNI SPRAVA'!Print_Titles</vt:lpstr>
      <vt:lpstr>SUMAR!Print_Titles</vt:lpstr>
      <vt:lpstr>UO!Print_Titles</vt:lpstr>
    </vt:vector>
  </TitlesOfParts>
  <Company>Ministerstvo financí ČR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 Marie Pešková</dc:creator>
  <dc:description>aktualizace vstupních dat  provedena 23.11.2001 na soubor "NR 2002 - schváleno v Parlamentu"</dc:description>
  <cp:lastModifiedBy>Petr Bouchal</cp:lastModifiedBy>
  <cp:lastPrinted>2015-02-20T13:59:25Z</cp:lastPrinted>
  <dcterms:created xsi:type="dcterms:W3CDTF">1996-10-16T16:09:10Z</dcterms:created>
  <dcterms:modified xsi:type="dcterms:W3CDTF">2026-03-20T09:12:52Z</dcterms:modified>
</cp:coreProperties>
</file>